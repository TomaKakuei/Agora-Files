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2"/>
    <sheet name="Participants" sheetId="2" state="visible" r:id="rId3"/>
    <sheet name="Responses" sheetId="3" state="visible" r:id="rId4"/>
    <sheet name="Image results" sheetId="4" state="visible" r:id="rId5"/>
    <sheet name="Structure results" sheetId="5" state="visible" r:id="rId6"/>
    <sheet name="Key" sheetId="6" state="visible" r:id="rId7"/>
  </sheets>
  <definedNames>
    <definedName function="false" hidden="true" localSheetId="3" name="_xlnm._FilterDatabase" vbProcedure="false">'Image results'!$A$6:$L$69</definedName>
    <definedName function="false" hidden="true" localSheetId="5" name="_xlnm._FilterDatabase" vbProcedure="false">Key!$A$6:$F$72</definedName>
    <definedName function="false" hidden="true" localSheetId="1" name="_xlnm._FilterDatabase" vbProcedure="false">Participants!$A$6:$H$17</definedName>
    <definedName function="false" hidden="true" localSheetId="2" name="_xlnm._FilterDatabase" vbProcedure="false">Responses!$A$6:$I$72</definedName>
    <definedName function="false" hidden="true" localSheetId="4" name="_xlnm._FilterDatabase" vbProcedure="false">'Structure results'!$A$6:$L$36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<sst xmlns="http://schemas.openxmlformats.org/spreadsheetml/2006/main" count="1586" uniqueCount="150">
  <si>
    <t xml:space="preserve">Visual survey | Completed results</t>
  </si>
  <si>
    <t xml:space="preserve">1. Send one packet</t>
  </si>
  <si>
    <t xml:space="preserve">Give V01-V11 to 11 different adults. Send each person only their own fillable PDF or Word file. Do not distribute this workbook: it contains identities.</t>
  </si>
  <si>
    <t xml:space="preserve">2. Register returns</t>
  </si>
  <si>
    <t xml:space="preserve">Fill the blue cells on Participants from the actual cover-page answers. No names or contact details are needed.</t>
  </si>
  <si>
    <t xml:space="preserve">3. Enter 18 choices</t>
  </si>
  <si>
    <t xml:space="preserve">On Responses, enter A, B, Same, or Not sure for each of the three questions in each round. Round and PDF page are already fixed.</t>
  </si>
  <si>
    <t xml:space="preserve">What Q1-Q3 mean</t>
  </si>
  <si>
    <t xml:space="preserve">Images: Q1 explore preference, Q2 map readability, Q3 character-world fit. Structure: Q1 explore preference, Q2 world clarity, Q3 place-scene fit. Results stay separate.</t>
  </si>
  <si>
    <t xml:space="preserve">Automatic inclusion</t>
  </si>
  <si>
    <t xml:space="preserve">Returned + adult + English + consent must be Yes, prior exposure must be No, and all 18 choices must be valid. The status shows missing or excluded packets.</t>
  </si>
  <si>
    <t xml:space="preserve">Automatic decoding</t>
  </si>
  <si>
    <t xml:space="preserve">The workbook knows what A/B means on each page. Preference for Source 1 = 1; Same = 0.5; Source 2 = 0. Not sure is missing preference, counted separately.</t>
  </si>
  <si>
    <t xml:space="preserve">What is covered</t>
  </si>
  <si>
    <t xml:space="preserve">Images: 7 models on one shared scene, 21 pairs, 44 ratings; each pair has 2 or 4 raters. Structure: 10 matched requests, 22 ratings, each pair has 2 or 4 raters.</t>
  </si>
  <si>
    <t xml:space="preserve">What the pictures show</t>
  </si>
  <si>
    <t xml:space="preserve">Archived maps and the first two requested character samples. Structure diagrams show authored places, assigned residents and props; they are not walking maps. No baseline artwork has been invented.</t>
  </si>
  <si>
    <t xml:space="preserve">Interpretation</t>
  </si>
  <si>
    <t xml:space="preserve">Eleven people provide exploratory judgments on these fixed artifacts. Do not call this a stable model ranking. Structure comparisons use the recorded unequal generation budgets.</t>
  </si>
  <si>
    <t xml:space="preserve">Reading the summaries</t>
  </si>
  <si>
    <t xml:space="preserve">Image results show each exact model pair and each question. Structure results also show an equal-request mean only when all 10 requests have judgeable votes. No p-values or Elo are produced.</t>
  </si>
  <si>
    <t xml:space="preserve">Keep versions separate</t>
  </si>
  <si>
    <t xml:space="preserve">This is the English visual V01-V11 version. Do not mix it with the rejected text-only Q01-Q11 survey or the earlier HTML S/P codes.</t>
  </si>
  <si>
    <t xml:space="preserve">Saving</t>
  </si>
  <si>
    <t xml:space="preserve">Only blue cells are editable; protection prevents mistakes, not disclosure. Save your completed workbook outside the public release folder. This copy contains actual returned choices; the original blank template is retained separately.</t>
  </si>
  <si>
    <t xml:space="preserve">11 returns; 10 included. V04 cover blank: pending confirmation, not imputed.</t>
  </si>
  <si>
    <t xml:space="preserve">Participants | V01-V11</t>
  </si>
  <si>
    <t xml:space="preserve">Copy the cover-page choices into blue cells. A missing response is not a No. Every code is used by one person only.</t>
  </si>
  <si>
    <t xml:space="preserve">Code</t>
  </si>
  <si>
    <t xml:space="preserve">Returned</t>
  </si>
  <si>
    <t xml:space="preserve">Adult</t>
  </si>
  <si>
    <t xml:space="preserve">English</t>
  </si>
  <si>
    <t xml:space="preserve">Consent</t>
  </si>
  <si>
    <t xml:space="preserve">Prior exposure</t>
  </si>
  <si>
    <t xml:space="preserve">Valid choices / 18</t>
  </si>
  <si>
    <t xml:space="preserve">Analysis status</t>
  </si>
  <si>
    <t xml:space="preserve">V01</t>
  </si>
  <si>
    <t xml:space="preserve">Yes</t>
  </si>
  <si>
    <t xml:space="preserve">No</t>
  </si>
  <si>
    <t xml:space="preserve">V02</t>
  </si>
  <si>
    <t xml:space="preserve">V03</t>
  </si>
  <si>
    <t xml:space="preserve">V04</t>
  </si>
  <si>
    <t xml:space="preserve">V05</t>
  </si>
  <si>
    <t xml:space="preserve">V06</t>
  </si>
  <si>
    <t xml:space="preserve">V07</t>
  </si>
  <si>
    <t xml:space="preserve">V08</t>
  </si>
  <si>
    <t xml:space="preserve">V09</t>
  </si>
  <si>
    <t xml:space="preserve">V10</t>
  </si>
  <si>
    <t xml:space="preserve">V11</t>
  </si>
  <si>
    <t xml:space="preserve">Responses | Copy choices, no numerical codes</t>
  </si>
  <si>
    <t xml:space="preserve">Q1: explore preference. Images Q2/Q3: map readability / character-world fit. Structure Q2/Q3: world clarity / place-scene fit. Use A, B, Same, or Not sure. Empty cells are unentered.</t>
  </si>
  <si>
    <t xml:space="preserve">Round</t>
  </si>
  <si>
    <t xml:space="preserve">PDF page</t>
  </si>
  <si>
    <t xml:space="preserve">Page type</t>
  </si>
  <si>
    <t xml:space="preserve">Q1: Explore</t>
  </si>
  <si>
    <t xml:space="preserve">Q2: Clarity</t>
  </si>
  <si>
    <t xml:space="preserve">Q3: Fit</t>
  </si>
  <si>
    <t xml:space="preserve">Valid / 3</t>
  </si>
  <si>
    <t xml:space="preserve">Kind</t>
  </si>
  <si>
    <t xml:space="preserve">Pair</t>
  </si>
  <si>
    <t xml:space="preserve">A identity</t>
  </si>
  <si>
    <t xml:space="preserve">B identity</t>
  </si>
  <si>
    <t xml:space="preserve">Source 1</t>
  </si>
  <si>
    <t xml:space="preserve">Source 2</t>
  </si>
  <si>
    <t xml:space="preserve">Q1 score</t>
  </si>
  <si>
    <t xml:space="preserve">Q2 score</t>
  </si>
  <si>
    <t xml:space="preserve">Q3 score</t>
  </si>
  <si>
    <t xml:space="preserve">Images</t>
  </si>
  <si>
    <t xml:space="preserve">A</t>
  </si>
  <si>
    <t xml:space="preserve">Not sure</t>
  </si>
  <si>
    <t xml:space="preserve">images</t>
  </si>
  <si>
    <t xml:space="preserve">pqpfxmjtr95</t>
  </si>
  <si>
    <t xml:space="preserve">Gemini 2.5 Flash</t>
  </si>
  <si>
    <t xml:space="preserve">Gemini 3.1 Flash Lite</t>
  </si>
  <si>
    <t xml:space="preserve">B</t>
  </si>
  <si>
    <t xml:space="preserve">pve74cbss7m</t>
  </si>
  <si>
    <t xml:space="preserve">GPT-5.6 Sol</t>
  </si>
  <si>
    <t xml:space="preserve">GPT-5.6 Terra</t>
  </si>
  <si>
    <t xml:space="preserve">Structure</t>
  </si>
  <si>
    <t xml:space="preserve">structure</t>
  </si>
  <si>
    <t xml:space="preserve">pba8emhpy3a</t>
  </si>
  <si>
    <t xml:space="preserve">Single-pass baseline</t>
  </si>
  <si>
    <t xml:space="preserve">Full Agora</t>
  </si>
  <si>
    <t xml:space="preserve">pkmwb7u7g3n</t>
  </si>
  <si>
    <t xml:space="preserve">pqz6par2vck</t>
  </si>
  <si>
    <t xml:space="preserve">Gemini 3.1 Pro Preview</t>
  </si>
  <si>
    <t xml:space="preserve">pgtsk9rzfxz</t>
  </si>
  <si>
    <t xml:space="preserve">pb77h495mwy</t>
  </si>
  <si>
    <t xml:space="preserve">Gemini 3.5 Flash Lite</t>
  </si>
  <si>
    <t xml:space="preserve">pm36f3jqvfc</t>
  </si>
  <si>
    <t xml:space="preserve">pshtgk9bhb8</t>
  </si>
  <si>
    <t xml:space="preserve">pe5t7ur8bj8</t>
  </si>
  <si>
    <t xml:space="preserve">Gemini 3.7 Flash</t>
  </si>
  <si>
    <t xml:space="preserve">pjr89bu8zuw</t>
  </si>
  <si>
    <t xml:space="preserve">p4n4wt973gs</t>
  </si>
  <si>
    <t xml:space="preserve">p99djg9fns3</t>
  </si>
  <si>
    <t xml:space="preserve">pr9q8buqrwe</t>
  </si>
  <si>
    <t xml:space="preserve">pyega4erk2n</t>
  </si>
  <si>
    <t xml:space="preserve">Same</t>
  </si>
  <si>
    <t xml:space="preserve">pfw7kwtz3xz</t>
  </si>
  <si>
    <t xml:space="preserve">pktk4d47f6b</t>
  </si>
  <si>
    <t xml:space="preserve">ppr7yrjpvsq</t>
  </si>
  <si>
    <t xml:space="preserve">pgu22spkfcc</t>
  </si>
  <si>
    <t xml:space="preserve">pkvc5vp8bjb</t>
  </si>
  <si>
    <t xml:space="preserve">p268pkt6x9s</t>
  </si>
  <si>
    <t xml:space="preserve">pnez9yz55kd</t>
  </si>
  <si>
    <t xml:space="preserve">ps854uqtmnd</t>
  </si>
  <si>
    <t xml:space="preserve">p3s4vrde99z</t>
  </si>
  <si>
    <t xml:space="preserve">pt3e7zeu9qk</t>
  </si>
  <si>
    <t xml:space="preserve">pwtz9q7kmsh</t>
  </si>
  <si>
    <t xml:space="preserve">pxy6w6bke2w</t>
  </si>
  <si>
    <t xml:space="preserve">p45p4mj42fh</t>
  </si>
  <si>
    <t xml:space="preserve">pskvetzh884</t>
  </si>
  <si>
    <t xml:space="preserve">py6qjxbzc6h</t>
  </si>
  <si>
    <t xml:space="preserve">p3muu378r39</t>
  </si>
  <si>
    <t xml:space="preserve">Image results | Source 1 preference</t>
  </si>
  <si>
    <t xml:space="preserve">Only included participants are counted. Same is a half vote; Not sure is outside the preference denominator. These are fixed-artifact exploratory judgments, not a general ranking.</t>
  </si>
  <si>
    <t xml:space="preserve">Pair / scene</t>
  </si>
  <si>
    <t xml:space="preserve">Question</t>
  </si>
  <si>
    <t xml:space="preserve">Planned</t>
  </si>
  <si>
    <t xml:space="preserve">Included</t>
  </si>
  <si>
    <t xml:space="preserve">Judgeable</t>
  </si>
  <si>
    <t xml:space="preserve">Source 1 wins</t>
  </si>
  <si>
    <t xml:space="preserve">Source 2 wins</t>
  </si>
  <si>
    <t xml:space="preserve">Source 1 preference</t>
  </si>
  <si>
    <t xml:space="preserve">Promise city</t>
  </si>
  <si>
    <t xml:space="preserve">Explore preference</t>
  </si>
  <si>
    <t xml:space="preserve">Map readability</t>
  </si>
  <si>
    <t xml:space="preserve">Character-world fit</t>
  </si>
  <si>
    <t xml:space="preserve">Structure results | Source 1 preference</t>
  </si>
  <si>
    <t xml:space="preserve">Aurora Court Of Migrating Cities</t>
  </si>
  <si>
    <t xml:space="preserve">World clarity</t>
  </si>
  <si>
    <t xml:space="preserve">Place-scene fit</t>
  </si>
  <si>
    <t xml:space="preserve">Clockwork Rain Conservatory</t>
  </si>
  <si>
    <t xml:space="preserve">Tidal Embassy Of Lost Languages</t>
  </si>
  <si>
    <t xml:space="preserve">Night Market Of Unfinished Weather</t>
  </si>
  <si>
    <t xml:space="preserve">Sunken Satellite Monastery</t>
  </si>
  <si>
    <t xml:space="preserve">Mycelium Patent Bazaar</t>
  </si>
  <si>
    <t xml:space="preserve">Archive Of Borrowed Gravity</t>
  </si>
  <si>
    <t xml:space="preserve">Cartographer Lung Exchange</t>
  </si>
  <si>
    <t xml:space="preserve">Intertidal Embassy For Extinct Rivers</t>
  </si>
  <si>
    <t xml:space="preserve">Museum Of Future Debts</t>
  </si>
  <si>
    <t xml:space="preserve">All 10 requests, equally weighted | Explore preference</t>
  </si>
  <si>
    <t xml:space="preserve">All 10 requests, equally weighted | World clarity</t>
  </si>
  <si>
    <t xml:space="preserve">All 10 requests, equally weighted | Place-scene fit</t>
  </si>
  <si>
    <t xml:space="preserve">The three rows above show covered requests (column K) and a complete 10-request mean (column L). A missing request suppresses that mean. This comparison does not control total generation compute.</t>
  </si>
  <si>
    <t xml:space="preserve">Private allocation | Do not distribute</t>
  </si>
  <si>
    <t xml:space="preserve">The letters A/B vary by page and code. This sheet links all 66 rounds to their recorded sources.</t>
  </si>
  <si>
    <t xml:space="preserve">Type</t>
  </si>
  <si>
    <t xml:space="preserve">Pair 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</si>
</sst>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0334A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52677A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195B97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87F83"/>
        <bgColor rgb="FF008080"/>
      </patternFill>
    </fill>
    <fill>
      <patternFill patternType="solid">
        <fgColor rgb="FFF0F4F7"/>
        <bgColor rgb="FFEDF6F3"/>
      </patternFill>
    </fill>
    <fill>
      <patternFill patternType="solid">
        <fgColor rgb="FFEAF5FF"/>
        <bgColor rgb="FFF0F4F7"/>
      </patternFill>
    </fill>
    <fill>
      <patternFill patternType="solid">
        <fgColor rgb="FFEDF6F3"/>
        <bgColor rgb="FFF0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2E9"/>
      </left>
      <right style="thin">
        <color rgb="FFD6E2E9"/>
      </right>
      <top style="thin">
        <color rgb="FFD6E2E9"/>
      </top>
      <bottom style="thin">
        <color rgb="FFD6E2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3"/>
      <rgbColor rgb="FFC0C0C0"/>
      <rgbColor rgb="FF808080"/>
      <rgbColor rgb="FF9999FF"/>
      <rgbColor rgb="FF993366"/>
      <rgbColor rgb="FFEDF6F3"/>
      <rgbColor rgb="FFEAF5FF"/>
      <rgbColor rgb="FF660066"/>
      <rgbColor rgb="FFFF8080"/>
      <rgbColor rgb="FF195B97"/>
      <rgbColor rgb="FFD6E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7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33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29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25.72"/>
    <col collapsed="false" customWidth="true" hidden="false" outlineLevel="0" max="8" min="3" style="0" width="15.71"/>
  </cols>
  <sheetData>
    <row r="1" customFormat="false" ht="29" hidden="false" customHeight="false" outlineLevel="0" collapsed="false"/>
    <row r="2" customFormat="false" ht="29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9" hidden="false" customHeight="true" outlineLevel="0" collapsed="false">
      <c r="B3" s="1"/>
      <c r="C3" s="1"/>
      <c r="D3" s="1"/>
      <c r="E3" s="1"/>
      <c r="F3" s="1"/>
      <c r="G3" s="1"/>
      <c r="H3" s="1"/>
    </row>
    <row r="6" customFormat="false" ht="63" hidden="false" customHeight="true" outlineLevel="0" collapsed="false">
      <c r="B6" s="2" t="s">
        <v>1</v>
      </c>
      <c r="C6" s="3" t="s">
        <v>2</v>
      </c>
      <c r="D6" s="3"/>
      <c r="E6" s="3"/>
      <c r="F6" s="3"/>
      <c r="G6" s="3"/>
      <c r="H6" s="3"/>
    </row>
    <row r="7" customFormat="false" ht="63" hidden="false" customHeight="true" outlineLevel="0" collapsed="false">
      <c r="B7" s="2" t="s">
        <v>3</v>
      </c>
      <c r="C7" s="3" t="s">
        <v>4</v>
      </c>
      <c r="D7" s="3"/>
      <c r="E7" s="3"/>
      <c r="F7" s="3"/>
      <c r="G7" s="3"/>
      <c r="H7" s="3"/>
    </row>
    <row r="8" customFormat="false" ht="63" hidden="false" customHeight="true" outlineLevel="0" collapsed="false">
      <c r="B8" s="2" t="s">
        <v>5</v>
      </c>
      <c r="C8" s="3" t="s">
        <v>6</v>
      </c>
      <c r="D8" s="3"/>
      <c r="E8" s="3"/>
      <c r="F8" s="3"/>
      <c r="G8" s="3"/>
      <c r="H8" s="3"/>
    </row>
    <row r="9" customFormat="false" ht="63" hidden="false" customHeight="true" outlineLevel="0" collapsed="false">
      <c r="B9" s="2" t="s">
        <v>7</v>
      </c>
      <c r="C9" s="3" t="s">
        <v>8</v>
      </c>
      <c r="D9" s="3"/>
      <c r="E9" s="3"/>
      <c r="F9" s="3"/>
      <c r="G9" s="3"/>
      <c r="H9" s="3"/>
    </row>
    <row r="10" customFormat="false" ht="63" hidden="false" customHeight="true" outlineLevel="0" collapsed="false">
      <c r="B10" s="2" t="s">
        <v>9</v>
      </c>
      <c r="C10" s="3" t="s">
        <v>10</v>
      </c>
      <c r="D10" s="3"/>
      <c r="E10" s="3"/>
      <c r="F10" s="3"/>
      <c r="G10" s="3"/>
      <c r="H10" s="3"/>
    </row>
    <row r="11" customFormat="false" ht="63" hidden="false" customHeight="true" outlineLevel="0" collapsed="false">
      <c r="B11" s="2" t="s">
        <v>11</v>
      </c>
      <c r="C11" s="3" t="s">
        <v>12</v>
      </c>
      <c r="D11" s="3"/>
      <c r="E11" s="3"/>
      <c r="F11" s="3"/>
      <c r="G11" s="3"/>
      <c r="H11" s="3"/>
    </row>
    <row r="12" customFormat="false" ht="63" hidden="false" customHeight="true" outlineLevel="0" collapsed="false">
      <c r="B12" s="2" t="s">
        <v>13</v>
      </c>
      <c r="C12" s="3" t="s">
        <v>14</v>
      </c>
      <c r="D12" s="3"/>
      <c r="E12" s="3"/>
      <c r="F12" s="3"/>
      <c r="G12" s="3"/>
      <c r="H12" s="3"/>
    </row>
    <row r="13" customFormat="false" ht="63" hidden="false" customHeight="true" outlineLevel="0" collapsed="false">
      <c r="B13" s="2" t="s">
        <v>15</v>
      </c>
      <c r="C13" s="3" t="s">
        <v>16</v>
      </c>
      <c r="D13" s="3"/>
      <c r="E13" s="3"/>
      <c r="F13" s="3"/>
      <c r="G13" s="3"/>
      <c r="H13" s="3"/>
    </row>
    <row r="14" customFormat="false" ht="63" hidden="false" customHeight="true" outlineLevel="0" collapsed="false">
      <c r="B14" s="2" t="s">
        <v>17</v>
      </c>
      <c r="C14" s="3" t="s">
        <v>18</v>
      </c>
      <c r="D14" s="3"/>
      <c r="E14" s="3"/>
      <c r="F14" s="3"/>
      <c r="G14" s="3"/>
      <c r="H14" s="3"/>
    </row>
    <row r="15" customFormat="false" ht="63" hidden="false" customHeight="true" outlineLevel="0" collapsed="false">
      <c r="B15" s="2" t="s">
        <v>19</v>
      </c>
      <c r="C15" s="3" t="s">
        <v>20</v>
      </c>
      <c r="D15" s="3"/>
      <c r="E15" s="3"/>
      <c r="F15" s="3"/>
      <c r="G15" s="3"/>
      <c r="H15" s="3"/>
    </row>
    <row r="16" customFormat="false" ht="63" hidden="false" customHeight="true" outlineLevel="0" collapsed="false">
      <c r="B16" s="2" t="s">
        <v>21</v>
      </c>
      <c r="C16" s="3" t="s">
        <v>22</v>
      </c>
      <c r="D16" s="3"/>
      <c r="E16" s="3"/>
      <c r="F16" s="3"/>
      <c r="G16" s="3"/>
      <c r="H16" s="3"/>
    </row>
    <row r="17" customFormat="false" ht="63" hidden="false" customHeight="true" outlineLevel="0" collapsed="false">
      <c r="B17" s="2" t="s">
        <v>23</v>
      </c>
      <c r="C17" s="3" t="s">
        <v>24</v>
      </c>
      <c r="D17" s="3"/>
      <c r="E17" s="3"/>
      <c r="F17" s="3"/>
      <c r="G17" s="3"/>
      <c r="H17" s="3"/>
    </row>
    <row r="18" customFormat="false" ht="29" hidden="false" customHeight="false" outlineLevel="0" collapsed="false"/>
    <row r="19" customFormat="false" ht="29" hidden="false" customHeight="true" outlineLevel="0" collapsed="false">
      <c r="B19" s="3" t="s">
        <v>25</v>
      </c>
      <c r="C19" s="3"/>
      <c r="D19" s="3"/>
      <c r="E19" s="3"/>
      <c r="F19" s="3"/>
      <c r="G19" s="3"/>
      <c r="H19" s="3"/>
    </row>
  </sheetData>
  <sheetProtection sheet="true" objects="true" scenarios="true" formatColumns="false" formatRows="false" autoFilter="false"/>
  <mergeCells count="14">
    <mergeCell ref="B2:H3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B19:H1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29" zeroHeight="false" outlineLevelRow="0" outlineLevelCol="0"/>
  <cols>
    <col collapsed="false" customWidth="true" hidden="false" outlineLevel="0" max="1" min="1" style="0" width="10.71"/>
    <col collapsed="false" customWidth="true" hidden="false" outlineLevel="0" max="8" min="8" style="0" width="30.71"/>
  </cols>
  <sheetData>
    <row r="1" customFormat="false" ht="36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3" t="s">
        <v>27</v>
      </c>
      <c r="B2" s="3"/>
      <c r="C2" s="3"/>
      <c r="D2" s="3"/>
      <c r="E2" s="3"/>
      <c r="F2" s="3"/>
      <c r="G2" s="3"/>
      <c r="H2" s="3"/>
    </row>
    <row r="3" customFormat="false" ht="29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9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6" customFormat="false" ht="40" hidden="false" customHeight="tru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</row>
    <row r="7" customFormat="false" ht="29" hidden="false" customHeight="true" outlineLevel="0" collapsed="false">
      <c r="A7" s="4" t="s">
        <v>36</v>
      </c>
      <c r="B7" s="5" t="s">
        <v>37</v>
      </c>
      <c r="C7" s="5" t="s">
        <v>37</v>
      </c>
      <c r="D7" s="5" t="s">
        <v>37</v>
      </c>
      <c r="E7" s="5" t="s">
        <v>37</v>
      </c>
      <c r="F7" s="5" t="s">
        <v>38</v>
      </c>
      <c r="G7" s="6" t="n">
        <f aca="false">SUM(Responses!H7:H12)</f>
        <v>18</v>
      </c>
      <c r="H7" s="6" t="str">
        <f aca="false">IF(B7&lt;&gt;"Yes","Not returned",IF(OR(C7="No",D7="No",E7="No"),"Exclude: eligibility/consent",IF(OR(C7&lt;&gt;"Yes",D7&lt;&gt;"Yes",E7&lt;&gt;"Yes",F7=""),"Check cover answers",IF(F7&lt;&gt;"No","Exclude: prior exposure",IF(G7&lt;&gt;18,"Incomplete choices","Include")))))</f>
        <v>Include</v>
      </c>
    </row>
    <row r="8" customFormat="false" ht="29" hidden="false" customHeight="true" outlineLevel="0" collapsed="false">
      <c r="A8" s="4" t="s">
        <v>39</v>
      </c>
      <c r="B8" s="5" t="s">
        <v>37</v>
      </c>
      <c r="C8" s="5" t="s">
        <v>37</v>
      </c>
      <c r="D8" s="5" t="s">
        <v>37</v>
      </c>
      <c r="E8" s="5" t="s">
        <v>37</v>
      </c>
      <c r="F8" s="5" t="s">
        <v>38</v>
      </c>
      <c r="G8" s="6" t="n">
        <f aca="false">SUM(Responses!H13:H18)</f>
        <v>18</v>
      </c>
      <c r="H8" s="6" t="str">
        <f aca="false">IF(B8&lt;&gt;"Yes","Not returned",IF(OR(C8="No",D8="No",E8="No"),"Exclude: eligibility/consent",IF(OR(C8&lt;&gt;"Yes",D8&lt;&gt;"Yes",E8&lt;&gt;"Yes",F8=""),"Check cover answers",IF(F8&lt;&gt;"No","Exclude: prior exposure",IF(G8&lt;&gt;18,"Incomplete choices","Include")))))</f>
        <v>Include</v>
      </c>
    </row>
    <row r="9" customFormat="false" ht="29" hidden="false" customHeight="true" outlineLevel="0" collapsed="false">
      <c r="A9" s="4" t="s">
        <v>40</v>
      </c>
      <c r="B9" s="5" t="s">
        <v>37</v>
      </c>
      <c r="C9" s="5" t="s">
        <v>37</v>
      </c>
      <c r="D9" s="5" t="s">
        <v>37</v>
      </c>
      <c r="E9" s="5" t="s">
        <v>37</v>
      </c>
      <c r="F9" s="5" t="s">
        <v>38</v>
      </c>
      <c r="G9" s="6" t="n">
        <f aca="false">SUM(Responses!H19:H24)</f>
        <v>18</v>
      </c>
      <c r="H9" s="6" t="str">
        <f aca="false">IF(B9&lt;&gt;"Yes","Not returned",IF(OR(C9="No",D9="No",E9="No"),"Exclude: eligibility/consent",IF(OR(C9&lt;&gt;"Yes",D9&lt;&gt;"Yes",E9&lt;&gt;"Yes",F9=""),"Check cover answers",IF(F9&lt;&gt;"No","Exclude: prior exposure",IF(G9&lt;&gt;18,"Incomplete choices","Include")))))</f>
        <v>Include</v>
      </c>
    </row>
    <row r="10" customFormat="false" ht="29" hidden="false" customHeight="true" outlineLevel="0" collapsed="false">
      <c r="A10" s="4" t="s">
        <v>41</v>
      </c>
      <c r="B10" s="5" t="s">
        <v>37</v>
      </c>
      <c r="C10" s="5"/>
      <c r="D10" s="5"/>
      <c r="E10" s="5"/>
      <c r="F10" s="5"/>
      <c r="G10" s="6" t="n">
        <f aca="false">SUM(Responses!H25:H30)</f>
        <v>18</v>
      </c>
      <c r="H10" s="6" t="str">
        <f aca="false">IF(B10&lt;&gt;"Yes","Not returned",IF(OR(C10="No",D10="No",E10="No"),"Exclude: eligibility/consent",IF(OR(C10&lt;&gt;"Yes",D10&lt;&gt;"Yes",E10&lt;&gt;"Yes",F10=""),"Check cover answers",IF(F10&lt;&gt;"No","Exclude: prior exposure",IF(G10&lt;&gt;18,"Incomplete choices","Include")))))</f>
        <v>Check cover answers</v>
      </c>
    </row>
    <row r="11" customFormat="false" ht="29" hidden="false" customHeight="true" outlineLevel="0" collapsed="false">
      <c r="A11" s="4" t="s">
        <v>42</v>
      </c>
      <c r="B11" s="5" t="s">
        <v>37</v>
      </c>
      <c r="C11" s="5" t="s">
        <v>37</v>
      </c>
      <c r="D11" s="5" t="s">
        <v>37</v>
      </c>
      <c r="E11" s="5" t="s">
        <v>37</v>
      </c>
      <c r="F11" s="5" t="s">
        <v>38</v>
      </c>
      <c r="G11" s="6" t="n">
        <f aca="false">SUM(Responses!H31:H36)</f>
        <v>18</v>
      </c>
      <c r="H11" s="6" t="str">
        <f aca="false">IF(B11&lt;&gt;"Yes","Not returned",IF(OR(C11="No",D11="No",E11="No"),"Exclude: eligibility/consent",IF(OR(C11&lt;&gt;"Yes",D11&lt;&gt;"Yes",E11&lt;&gt;"Yes",F11=""),"Check cover answers",IF(F11&lt;&gt;"No","Exclude: prior exposure",IF(G11&lt;&gt;18,"Incomplete choices","Include")))))</f>
        <v>Include</v>
      </c>
    </row>
    <row r="12" customFormat="false" ht="29" hidden="false" customHeight="true" outlineLevel="0" collapsed="false">
      <c r="A12" s="4" t="s">
        <v>43</v>
      </c>
      <c r="B12" s="5" t="s">
        <v>37</v>
      </c>
      <c r="C12" s="5" t="s">
        <v>37</v>
      </c>
      <c r="D12" s="5" t="s">
        <v>37</v>
      </c>
      <c r="E12" s="5" t="s">
        <v>37</v>
      </c>
      <c r="F12" s="5" t="s">
        <v>38</v>
      </c>
      <c r="G12" s="6" t="n">
        <f aca="false">SUM(Responses!H37:H42)</f>
        <v>18</v>
      </c>
      <c r="H12" s="6" t="str">
        <f aca="false">IF(B12&lt;&gt;"Yes","Not returned",IF(OR(C12="No",D12="No",E12="No"),"Exclude: eligibility/consent",IF(OR(C12&lt;&gt;"Yes",D12&lt;&gt;"Yes",E12&lt;&gt;"Yes",F12=""),"Check cover answers",IF(F12&lt;&gt;"No","Exclude: prior exposure",IF(G12&lt;&gt;18,"Incomplete choices","Include")))))</f>
        <v>Include</v>
      </c>
    </row>
    <row r="13" customFormat="false" ht="29" hidden="false" customHeight="true" outlineLevel="0" collapsed="false">
      <c r="A13" s="4" t="s">
        <v>44</v>
      </c>
      <c r="B13" s="5" t="s">
        <v>37</v>
      </c>
      <c r="C13" s="5" t="s">
        <v>37</v>
      </c>
      <c r="D13" s="5" t="s">
        <v>37</v>
      </c>
      <c r="E13" s="5" t="s">
        <v>37</v>
      </c>
      <c r="F13" s="5" t="s">
        <v>38</v>
      </c>
      <c r="G13" s="6" t="n">
        <f aca="false">SUM(Responses!H43:H48)</f>
        <v>18</v>
      </c>
      <c r="H13" s="6" t="str">
        <f aca="false">IF(B13&lt;&gt;"Yes","Not returned",IF(OR(C13="No",D13="No",E13="No"),"Exclude: eligibility/consent",IF(OR(C13&lt;&gt;"Yes",D13&lt;&gt;"Yes",E13&lt;&gt;"Yes",F13=""),"Check cover answers",IF(F13&lt;&gt;"No","Exclude: prior exposure",IF(G13&lt;&gt;18,"Incomplete choices","Include")))))</f>
        <v>Include</v>
      </c>
    </row>
    <row r="14" customFormat="false" ht="29" hidden="false" customHeight="true" outlineLevel="0" collapsed="false">
      <c r="A14" s="4" t="s">
        <v>45</v>
      </c>
      <c r="B14" s="5" t="s">
        <v>37</v>
      </c>
      <c r="C14" s="5" t="s">
        <v>37</v>
      </c>
      <c r="D14" s="5" t="s">
        <v>37</v>
      </c>
      <c r="E14" s="5" t="s">
        <v>37</v>
      </c>
      <c r="F14" s="5" t="s">
        <v>38</v>
      </c>
      <c r="G14" s="6" t="n">
        <f aca="false">SUM(Responses!H49:H54)</f>
        <v>18</v>
      </c>
      <c r="H14" s="6" t="str">
        <f aca="false">IF(B14&lt;&gt;"Yes","Not returned",IF(OR(C14="No",D14="No",E14="No"),"Exclude: eligibility/consent",IF(OR(C14&lt;&gt;"Yes",D14&lt;&gt;"Yes",E14&lt;&gt;"Yes",F14=""),"Check cover answers",IF(F14&lt;&gt;"No","Exclude: prior exposure",IF(G14&lt;&gt;18,"Incomplete choices","Include")))))</f>
        <v>Include</v>
      </c>
    </row>
    <row r="15" customFormat="false" ht="29" hidden="false" customHeight="true" outlineLevel="0" collapsed="false">
      <c r="A15" s="4" t="s">
        <v>46</v>
      </c>
      <c r="B15" s="5" t="s">
        <v>37</v>
      </c>
      <c r="C15" s="5" t="s">
        <v>37</v>
      </c>
      <c r="D15" s="5" t="s">
        <v>37</v>
      </c>
      <c r="E15" s="5" t="s">
        <v>37</v>
      </c>
      <c r="F15" s="5" t="s">
        <v>38</v>
      </c>
      <c r="G15" s="6" t="n">
        <f aca="false">SUM(Responses!H55:H60)</f>
        <v>18</v>
      </c>
      <c r="H15" s="6" t="str">
        <f aca="false">IF(B15&lt;&gt;"Yes","Not returned",IF(OR(C15="No",D15="No",E15="No"),"Exclude: eligibility/consent",IF(OR(C15&lt;&gt;"Yes",D15&lt;&gt;"Yes",E15&lt;&gt;"Yes",F15=""),"Check cover answers",IF(F15&lt;&gt;"No","Exclude: prior exposure",IF(G15&lt;&gt;18,"Incomplete choices","Include")))))</f>
        <v>Include</v>
      </c>
    </row>
    <row r="16" customFormat="false" ht="29" hidden="false" customHeight="true" outlineLevel="0" collapsed="false">
      <c r="A16" s="4" t="s">
        <v>47</v>
      </c>
      <c r="B16" s="5" t="s">
        <v>37</v>
      </c>
      <c r="C16" s="5" t="s">
        <v>37</v>
      </c>
      <c r="D16" s="5" t="s">
        <v>37</v>
      </c>
      <c r="E16" s="5" t="s">
        <v>37</v>
      </c>
      <c r="F16" s="5" t="s">
        <v>38</v>
      </c>
      <c r="G16" s="6" t="n">
        <f aca="false">SUM(Responses!H61:H66)</f>
        <v>18</v>
      </c>
      <c r="H16" s="6" t="str">
        <f aca="false">IF(B16&lt;&gt;"Yes","Not returned",IF(OR(C16="No",D16="No",E16="No"),"Exclude: eligibility/consent",IF(OR(C16&lt;&gt;"Yes",D16&lt;&gt;"Yes",E16&lt;&gt;"Yes",F16=""),"Check cover answers",IF(F16&lt;&gt;"No","Exclude: prior exposure",IF(G16&lt;&gt;18,"Incomplete choices","Include")))))</f>
        <v>Include</v>
      </c>
    </row>
    <row r="17" customFormat="false" ht="29" hidden="false" customHeight="true" outlineLevel="0" collapsed="false">
      <c r="A17" s="4" t="s">
        <v>48</v>
      </c>
      <c r="B17" s="5" t="s">
        <v>37</v>
      </c>
      <c r="C17" s="5" t="s">
        <v>37</v>
      </c>
      <c r="D17" s="5" t="s">
        <v>37</v>
      </c>
      <c r="E17" s="5" t="s">
        <v>37</v>
      </c>
      <c r="F17" s="5" t="s">
        <v>38</v>
      </c>
      <c r="G17" s="6" t="n">
        <f aca="false">SUM(Responses!H67:H72)</f>
        <v>18</v>
      </c>
      <c r="H17" s="6" t="str">
        <f aca="false">IF(B17&lt;&gt;"Yes","Not returned",IF(OR(C17="No",D17="No",E17="No"),"Exclude: eligibility/consent",IF(OR(C17&lt;&gt;"Yes",D17&lt;&gt;"Yes",E17&lt;&gt;"Yes",F17=""),"Check cover answers",IF(F17&lt;&gt;"No","Exclude: prior exposure",IF(G17&lt;&gt;18,"Incomplete choices","Include")))))</f>
        <v>Include</v>
      </c>
    </row>
  </sheetData>
  <sheetProtection sheet="true" objects="true" scenarios="true" formatColumns="false" formatRows="false" autoFilter="false"/>
  <autoFilter ref="A6:H17"/>
  <mergeCells count="2">
    <mergeCell ref="A1:H1"/>
    <mergeCell ref="A2:H4"/>
  </mergeCells>
  <dataValidations count="5">
    <dataValidation allowBlank="true" error="Copy the actual answer. Leave empty until it is received." errorTitle="Use a listed choice" operator="between" showDropDown="false" showErrorMessage="true" showInputMessage="true" sqref="B7:B17" type="list">
      <formula1>"Yes,No"</formula1>
      <formula2>0</formula2>
    </dataValidation>
    <dataValidation allowBlank="true" error="Copy the actual answer. Leave empty until it is received." errorTitle="Use a listed choice" operator="between" showDropDown="false" showErrorMessage="true" showInputMessage="true" sqref="C7:C17" type="list">
      <formula1>"Yes,No"</formula1>
      <formula2>0</formula2>
    </dataValidation>
    <dataValidation allowBlank="true" error="Copy the actual answer. Leave empty until it is received." errorTitle="Use a listed choice" operator="between" showDropDown="false" showErrorMessage="true" showInputMessage="true" sqref="D7:D17" type="list">
      <formula1>"Yes,No"</formula1>
      <formula2>0</formula2>
    </dataValidation>
    <dataValidation allowBlank="true" error="Copy the actual answer. Leave empty until it is received." errorTitle="Use a listed choice" operator="between" showDropDown="false" showErrorMessage="true" showInputMessage="true" sqref="E7:E17" type="list">
      <formula1>"Yes,No"</formula1>
      <formula2>0</formula2>
    </dataValidation>
    <dataValidation allowBlank="true" error="Copy the actual answer. Leave empty until it is received." errorTitle="Use a listed choice" operator="between" showDropDown="false" showErrorMessage="true" showInputMessage="true" sqref="F7:F17" type="list">
      <formula1>"No,Yes,Not sure"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29" zeroHeight="false" outlineLevelRow="0" outlineLevelCol="0"/>
  <cols>
    <col collapsed="false" customWidth="true" hidden="false" outlineLevel="0" max="3" min="1" style="0" width="10.71"/>
    <col collapsed="false" customWidth="true" hidden="false" outlineLevel="0" max="7" min="4" style="0" width="20.71"/>
    <col collapsed="false" customWidth="true" hidden="false" outlineLevel="0" max="9" min="9" style="0" width="30.71"/>
    <col collapsed="false" customWidth="true" hidden="true" outlineLevel="0" max="18" min="10" style="0" width="22.71"/>
  </cols>
  <sheetData>
    <row r="1" customFormat="false" ht="36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3" t="s">
        <v>50</v>
      </c>
      <c r="B2" s="3"/>
      <c r="C2" s="3"/>
      <c r="D2" s="3"/>
      <c r="E2" s="3"/>
      <c r="F2" s="3"/>
      <c r="G2" s="3"/>
      <c r="H2" s="3"/>
      <c r="I2" s="3"/>
    </row>
    <row r="3" customFormat="false" ht="29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29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</row>
    <row r="6" customFormat="false" ht="40" hidden="false" customHeight="true" outlineLevel="0" collapsed="false">
      <c r="A6" s="2" t="s">
        <v>28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35</v>
      </c>
      <c r="J6" s="2" t="s">
        <v>58</v>
      </c>
      <c r="K6" s="2" t="s">
        <v>59</v>
      </c>
      <c r="L6" s="2" t="s">
        <v>60</v>
      </c>
      <c r="M6" s="2" t="s">
        <v>61</v>
      </c>
      <c r="N6" s="2" t="s">
        <v>62</v>
      </c>
      <c r="O6" s="2" t="s">
        <v>63</v>
      </c>
      <c r="P6" s="2" t="s">
        <v>64</v>
      </c>
      <c r="Q6" s="2" t="s">
        <v>65</v>
      </c>
      <c r="R6" s="2" t="s">
        <v>66</v>
      </c>
    </row>
    <row r="7" customFormat="false" ht="29" hidden="false" customHeight="true" outlineLevel="0" collapsed="false">
      <c r="A7" s="4" t="s">
        <v>36</v>
      </c>
      <c r="B7" s="4" t="n">
        <v>1</v>
      </c>
      <c r="C7" s="4" t="n">
        <v>2</v>
      </c>
      <c r="D7" s="4" t="s">
        <v>67</v>
      </c>
      <c r="E7" s="5" t="s">
        <v>68</v>
      </c>
      <c r="F7" s="5" t="s">
        <v>68</v>
      </c>
      <c r="G7" s="5" t="s">
        <v>69</v>
      </c>
      <c r="H7" s="6" t="n">
        <f aca="false">SUM(COUNTIF(E7:G7,"A"),COUNTIF(E7:G7,"B"),COUNTIF(E7:G7,"Same"),COUNTIF(E7:G7,"Not sure"))</f>
        <v>3</v>
      </c>
      <c r="I7" s="6" t="str">
        <f aca="false">Participants!H7</f>
        <v>Include</v>
      </c>
      <c r="J7" s="4" t="s">
        <v>70</v>
      </c>
      <c r="K7" s="4" t="s">
        <v>71</v>
      </c>
      <c r="L7" s="4" t="s">
        <v>72</v>
      </c>
      <c r="M7" s="4" t="s">
        <v>73</v>
      </c>
      <c r="N7" s="4" t="s">
        <v>72</v>
      </c>
      <c r="O7" s="4" t="s">
        <v>73</v>
      </c>
      <c r="P7" s="6" t="n">
        <f aca="false">IF(I7&lt;&gt;"Include","",IF(E7="Not sure","",IF(E7="Same",0.5,IF(OR(AND(E7="A",L7=N7),AND(E7="B",M7=N7)),1,0))))</f>
        <v>1</v>
      </c>
      <c r="Q7" s="6" t="n">
        <f aca="false">IF(I7&lt;&gt;"Include","",IF(F7="Not sure","",IF(F7="Same",0.5,IF(OR(AND(F7="A",L7=N7),AND(F7="B",M7=N7)),1,0))))</f>
        <v>1</v>
      </c>
      <c r="R7" s="6" t="str">
        <f aca="false">IF(I7&lt;&gt;"Include","",IF(G7="Not sure","",IF(G7="Same",0.5,IF(OR(AND(G7="A",L7=N7),AND(G7="B",M7=N7)),1,0))))</f>
        <v/>
      </c>
    </row>
    <row r="8" customFormat="false" ht="29" hidden="false" customHeight="true" outlineLevel="0" collapsed="false">
      <c r="A8" s="4" t="s">
        <v>36</v>
      </c>
      <c r="B8" s="4" t="n">
        <v>2</v>
      </c>
      <c r="C8" s="4" t="n">
        <v>3</v>
      </c>
      <c r="D8" s="4" t="s">
        <v>67</v>
      </c>
      <c r="E8" s="5" t="s">
        <v>74</v>
      </c>
      <c r="F8" s="5" t="s">
        <v>74</v>
      </c>
      <c r="G8" s="5" t="s">
        <v>68</v>
      </c>
      <c r="H8" s="6" t="n">
        <f aca="false">SUM(COUNTIF(E8:G8,"A"),COUNTIF(E8:G8,"B"),COUNTIF(E8:G8,"Same"),COUNTIF(E8:G8,"Not sure"))</f>
        <v>3</v>
      </c>
      <c r="I8" s="6" t="str">
        <f aca="false">Participants!H7</f>
        <v>Include</v>
      </c>
      <c r="J8" s="4" t="s">
        <v>70</v>
      </c>
      <c r="K8" s="4" t="s">
        <v>75</v>
      </c>
      <c r="L8" s="4" t="s">
        <v>76</v>
      </c>
      <c r="M8" s="4" t="s">
        <v>77</v>
      </c>
      <c r="N8" s="4" t="s">
        <v>76</v>
      </c>
      <c r="O8" s="4" t="s">
        <v>77</v>
      </c>
      <c r="P8" s="6" t="n">
        <f aca="false">IF(I8&lt;&gt;"Include","",IF(E8="Not sure","",IF(E8="Same",0.5,IF(OR(AND(E8="A",L8=N8),AND(E8="B",M8=N8)),1,0))))</f>
        <v>0</v>
      </c>
      <c r="Q8" s="6" t="n">
        <f aca="false">IF(I8&lt;&gt;"Include","",IF(F8="Not sure","",IF(F8="Same",0.5,IF(OR(AND(F8="A",L8=N8),AND(F8="B",M8=N8)),1,0))))</f>
        <v>0</v>
      </c>
      <c r="R8" s="6" t="n">
        <f aca="false">IF(I8&lt;&gt;"Include","",IF(G8="Not sure","",IF(G8="Same",0.5,IF(OR(AND(G8="A",L8=N8),AND(G8="B",M8=N8)),1,0))))</f>
        <v>1</v>
      </c>
    </row>
    <row r="9" customFormat="false" ht="29" hidden="false" customHeight="true" outlineLevel="0" collapsed="false">
      <c r="A9" s="4" t="s">
        <v>36</v>
      </c>
      <c r="B9" s="4" t="n">
        <v>3</v>
      </c>
      <c r="C9" s="4" t="n">
        <v>4</v>
      </c>
      <c r="D9" s="4" t="s">
        <v>78</v>
      </c>
      <c r="E9" s="5" t="s">
        <v>74</v>
      </c>
      <c r="F9" s="5" t="s">
        <v>68</v>
      </c>
      <c r="G9" s="5" t="s">
        <v>69</v>
      </c>
      <c r="H9" s="6" t="n">
        <f aca="false">SUM(COUNTIF(E9:G9,"A"),COUNTIF(E9:G9,"B"),COUNTIF(E9:G9,"Same"),COUNTIF(E9:G9,"Not sure"))</f>
        <v>3</v>
      </c>
      <c r="I9" s="6" t="str">
        <f aca="false">Participants!H7</f>
        <v>Include</v>
      </c>
      <c r="J9" s="4" t="s">
        <v>79</v>
      </c>
      <c r="K9" s="4" t="s">
        <v>80</v>
      </c>
      <c r="L9" s="4" t="s">
        <v>81</v>
      </c>
      <c r="M9" s="4" t="s">
        <v>82</v>
      </c>
      <c r="N9" s="4" t="s">
        <v>82</v>
      </c>
      <c r="O9" s="4" t="s">
        <v>81</v>
      </c>
      <c r="P9" s="6" t="n">
        <f aca="false">IF(I9&lt;&gt;"Include","",IF(E9="Not sure","",IF(E9="Same",0.5,IF(OR(AND(E9="A",L9=N9),AND(E9="B",M9=N9)),1,0))))</f>
        <v>1</v>
      </c>
      <c r="Q9" s="6" t="n">
        <f aca="false">IF(I9&lt;&gt;"Include","",IF(F9="Not sure","",IF(F9="Same",0.5,IF(OR(AND(F9="A",L9=N9),AND(F9="B",M9=N9)),1,0))))</f>
        <v>0</v>
      </c>
      <c r="R9" s="6" t="str">
        <f aca="false">IF(I9&lt;&gt;"Include","",IF(G9="Not sure","",IF(G9="Same",0.5,IF(OR(AND(G9="A",L9=N9),AND(G9="B",M9=N9)),1,0))))</f>
        <v/>
      </c>
    </row>
    <row r="10" customFormat="false" ht="29" hidden="false" customHeight="true" outlineLevel="0" collapsed="false">
      <c r="A10" s="4" t="s">
        <v>36</v>
      </c>
      <c r="B10" s="4" t="n">
        <v>4</v>
      </c>
      <c r="C10" s="4" t="n">
        <v>5</v>
      </c>
      <c r="D10" s="4" t="s">
        <v>67</v>
      </c>
      <c r="E10" s="5" t="s">
        <v>74</v>
      </c>
      <c r="F10" s="5" t="s">
        <v>68</v>
      </c>
      <c r="G10" s="5" t="s">
        <v>74</v>
      </c>
      <c r="H10" s="6" t="n">
        <f aca="false">SUM(COUNTIF(E10:G10,"A"),COUNTIF(E10:G10,"B"),COUNTIF(E10:G10,"Same"),COUNTIF(E10:G10,"Not sure"))</f>
        <v>3</v>
      </c>
      <c r="I10" s="6" t="str">
        <f aca="false">Participants!H7</f>
        <v>Include</v>
      </c>
      <c r="J10" s="4" t="s">
        <v>70</v>
      </c>
      <c r="K10" s="4" t="s">
        <v>83</v>
      </c>
      <c r="L10" s="4" t="s">
        <v>72</v>
      </c>
      <c r="M10" s="4" t="s">
        <v>76</v>
      </c>
      <c r="N10" s="4" t="s">
        <v>72</v>
      </c>
      <c r="O10" s="4" t="s">
        <v>76</v>
      </c>
      <c r="P10" s="6" t="n">
        <f aca="false">IF(I10&lt;&gt;"Include","",IF(E10="Not sure","",IF(E10="Same",0.5,IF(OR(AND(E10="A",L10=N10),AND(E10="B",M10=N10)),1,0))))</f>
        <v>0</v>
      </c>
      <c r="Q10" s="6" t="n">
        <f aca="false">IF(I10&lt;&gt;"Include","",IF(F10="Not sure","",IF(F10="Same",0.5,IF(OR(AND(F10="A",L10=N10),AND(F10="B",M10=N10)),1,0))))</f>
        <v>1</v>
      </c>
      <c r="R10" s="6" t="n">
        <f aca="false">IF(I10&lt;&gt;"Include","",IF(G10="Not sure","",IF(G10="Same",0.5,IF(OR(AND(G10="A",L10=N10),AND(G10="B",M10=N10)),1,0))))</f>
        <v>0</v>
      </c>
    </row>
    <row r="11" customFormat="false" ht="29" hidden="false" customHeight="true" outlineLevel="0" collapsed="false">
      <c r="A11" s="4" t="s">
        <v>36</v>
      </c>
      <c r="B11" s="4" t="n">
        <v>5</v>
      </c>
      <c r="C11" s="4" t="n">
        <v>6</v>
      </c>
      <c r="D11" s="4" t="s">
        <v>67</v>
      </c>
      <c r="E11" s="5" t="s">
        <v>68</v>
      </c>
      <c r="F11" s="5" t="s">
        <v>68</v>
      </c>
      <c r="G11" s="5" t="s">
        <v>69</v>
      </c>
      <c r="H11" s="6" t="n">
        <f aca="false">SUM(COUNTIF(E11:G11,"A"),COUNTIF(E11:G11,"B"),COUNTIF(E11:G11,"Same"),COUNTIF(E11:G11,"Not sure"))</f>
        <v>3</v>
      </c>
      <c r="I11" s="6" t="str">
        <f aca="false">Participants!H7</f>
        <v>Include</v>
      </c>
      <c r="J11" s="4" t="s">
        <v>70</v>
      </c>
      <c r="K11" s="4" t="s">
        <v>84</v>
      </c>
      <c r="L11" s="4" t="s">
        <v>77</v>
      </c>
      <c r="M11" s="4" t="s">
        <v>85</v>
      </c>
      <c r="N11" s="4" t="s">
        <v>85</v>
      </c>
      <c r="O11" s="4" t="s">
        <v>77</v>
      </c>
      <c r="P11" s="6" t="n">
        <f aca="false">IF(I11&lt;&gt;"Include","",IF(E11="Not sure","",IF(E11="Same",0.5,IF(OR(AND(E11="A",L11=N11),AND(E11="B",M11=N11)),1,0))))</f>
        <v>0</v>
      </c>
      <c r="Q11" s="6" t="n">
        <f aca="false">IF(I11&lt;&gt;"Include","",IF(F11="Not sure","",IF(F11="Same",0.5,IF(OR(AND(F11="A",L11=N11),AND(F11="B",M11=N11)),1,0))))</f>
        <v>0</v>
      </c>
      <c r="R11" s="6" t="str">
        <f aca="false">IF(I11&lt;&gt;"Include","",IF(G11="Not sure","",IF(G11="Same",0.5,IF(OR(AND(G11="A",L11=N11),AND(G11="B",M11=N11)),1,0))))</f>
        <v/>
      </c>
    </row>
    <row r="12" customFormat="false" ht="29" hidden="false" customHeight="true" outlineLevel="0" collapsed="false">
      <c r="A12" s="4" t="s">
        <v>36</v>
      </c>
      <c r="B12" s="4" t="n">
        <v>6</v>
      </c>
      <c r="C12" s="4" t="n">
        <v>7</v>
      </c>
      <c r="D12" s="4" t="s">
        <v>78</v>
      </c>
      <c r="E12" s="5" t="s">
        <v>68</v>
      </c>
      <c r="F12" s="5" t="s">
        <v>68</v>
      </c>
      <c r="G12" s="5" t="s">
        <v>68</v>
      </c>
      <c r="H12" s="6" t="n">
        <f aca="false">SUM(COUNTIF(E12:G12,"A"),COUNTIF(E12:G12,"B"),COUNTIF(E12:G12,"Same"),COUNTIF(E12:G12,"Not sure"))</f>
        <v>3</v>
      </c>
      <c r="I12" s="6" t="str">
        <f aca="false">Participants!H7</f>
        <v>Include</v>
      </c>
      <c r="J12" s="4" t="s">
        <v>79</v>
      </c>
      <c r="K12" s="4" t="s">
        <v>86</v>
      </c>
      <c r="L12" s="4" t="s">
        <v>82</v>
      </c>
      <c r="M12" s="4" t="s">
        <v>81</v>
      </c>
      <c r="N12" s="4" t="s">
        <v>82</v>
      </c>
      <c r="O12" s="4" t="s">
        <v>81</v>
      </c>
      <c r="P12" s="6" t="n">
        <f aca="false">IF(I12&lt;&gt;"Include","",IF(E12="Not sure","",IF(E12="Same",0.5,IF(OR(AND(E12="A",L12=N12),AND(E12="B",M12=N12)),1,0))))</f>
        <v>1</v>
      </c>
      <c r="Q12" s="6" t="n">
        <f aca="false">IF(I12&lt;&gt;"Include","",IF(F12="Not sure","",IF(F12="Same",0.5,IF(OR(AND(F12="A",L12=N12),AND(F12="B",M12=N12)),1,0))))</f>
        <v>1</v>
      </c>
      <c r="R12" s="6" t="n">
        <f aca="false">IF(I12&lt;&gt;"Include","",IF(G12="Not sure","",IF(G12="Same",0.5,IF(OR(AND(G12="A",L12=N12),AND(G12="B",M12=N12)),1,0))))</f>
        <v>1</v>
      </c>
    </row>
    <row r="13" customFormat="false" ht="29" hidden="false" customHeight="true" outlineLevel="0" collapsed="false">
      <c r="A13" s="4" t="s">
        <v>39</v>
      </c>
      <c r="B13" s="4" t="n">
        <v>1</v>
      </c>
      <c r="C13" s="4" t="n">
        <v>2</v>
      </c>
      <c r="D13" s="4" t="s">
        <v>67</v>
      </c>
      <c r="E13" s="5" t="s">
        <v>74</v>
      </c>
      <c r="F13" s="5" t="s">
        <v>68</v>
      </c>
      <c r="G13" s="5" t="s">
        <v>74</v>
      </c>
      <c r="H13" s="6" t="n">
        <f aca="false">SUM(COUNTIF(E13:G13,"A"),COUNTIF(E13:G13,"B"),COUNTIF(E13:G13,"Same"),COUNTIF(E13:G13,"Not sure"))</f>
        <v>3</v>
      </c>
      <c r="I13" s="6" t="str">
        <f aca="false">Participants!H8</f>
        <v>Include</v>
      </c>
      <c r="J13" s="4" t="s">
        <v>70</v>
      </c>
      <c r="K13" s="4" t="s">
        <v>87</v>
      </c>
      <c r="L13" s="4" t="s">
        <v>76</v>
      </c>
      <c r="M13" s="4" t="s">
        <v>88</v>
      </c>
      <c r="N13" s="4" t="s">
        <v>88</v>
      </c>
      <c r="O13" s="4" t="s">
        <v>76</v>
      </c>
      <c r="P13" s="6" t="n">
        <f aca="false">IF(I13&lt;&gt;"Include","",IF(E13="Not sure","",IF(E13="Same",0.5,IF(OR(AND(E13="A",L13=N13),AND(E13="B",M13=N13)),1,0))))</f>
        <v>1</v>
      </c>
      <c r="Q13" s="6" t="n">
        <f aca="false">IF(I13&lt;&gt;"Include","",IF(F13="Not sure","",IF(F13="Same",0.5,IF(OR(AND(F13="A",L13=N13),AND(F13="B",M13=N13)),1,0))))</f>
        <v>0</v>
      </c>
      <c r="R13" s="6" t="n">
        <f aca="false">IF(I13&lt;&gt;"Include","",IF(G13="Not sure","",IF(G13="Same",0.5,IF(OR(AND(G13="A",L13=N13),AND(G13="B",M13=N13)),1,0))))</f>
        <v>1</v>
      </c>
    </row>
    <row r="14" customFormat="false" ht="29" hidden="false" customHeight="true" outlineLevel="0" collapsed="false">
      <c r="A14" s="4" t="s">
        <v>39</v>
      </c>
      <c r="B14" s="4" t="n">
        <v>2</v>
      </c>
      <c r="C14" s="4" t="n">
        <v>3</v>
      </c>
      <c r="D14" s="4" t="s">
        <v>78</v>
      </c>
      <c r="E14" s="5" t="s">
        <v>74</v>
      </c>
      <c r="F14" s="5" t="s">
        <v>68</v>
      </c>
      <c r="G14" s="5" t="s">
        <v>68</v>
      </c>
      <c r="H14" s="6" t="n">
        <f aca="false">SUM(COUNTIF(E14:G14,"A"),COUNTIF(E14:G14,"B"),COUNTIF(E14:G14,"Same"),COUNTIF(E14:G14,"Not sure"))</f>
        <v>3</v>
      </c>
      <c r="I14" s="6" t="str">
        <f aca="false">Participants!H8</f>
        <v>Include</v>
      </c>
      <c r="J14" s="4" t="s">
        <v>79</v>
      </c>
      <c r="K14" s="4" t="s">
        <v>89</v>
      </c>
      <c r="L14" s="4" t="s">
        <v>81</v>
      </c>
      <c r="M14" s="4" t="s">
        <v>82</v>
      </c>
      <c r="N14" s="4" t="s">
        <v>82</v>
      </c>
      <c r="O14" s="4" t="s">
        <v>81</v>
      </c>
      <c r="P14" s="6" t="n">
        <f aca="false">IF(I14&lt;&gt;"Include","",IF(E14="Not sure","",IF(E14="Same",0.5,IF(OR(AND(E14="A",L14=N14),AND(E14="B",M14=N14)),1,0))))</f>
        <v>1</v>
      </c>
      <c r="Q14" s="6" t="n">
        <f aca="false">IF(I14&lt;&gt;"Include","",IF(F14="Not sure","",IF(F14="Same",0.5,IF(OR(AND(F14="A",L14=N14),AND(F14="B",M14=N14)),1,0))))</f>
        <v>0</v>
      </c>
      <c r="R14" s="6" t="n">
        <f aca="false">IF(I14&lt;&gt;"Include","",IF(G14="Not sure","",IF(G14="Same",0.5,IF(OR(AND(G14="A",L14=N14),AND(G14="B",M14=N14)),1,0))))</f>
        <v>0</v>
      </c>
    </row>
    <row r="15" customFormat="false" ht="29" hidden="false" customHeight="true" outlineLevel="0" collapsed="false">
      <c r="A15" s="4" t="s">
        <v>39</v>
      </c>
      <c r="B15" s="4" t="n">
        <v>3</v>
      </c>
      <c r="C15" s="4" t="n">
        <v>4</v>
      </c>
      <c r="D15" s="4" t="s">
        <v>67</v>
      </c>
      <c r="E15" s="5" t="s">
        <v>74</v>
      </c>
      <c r="F15" s="5" t="s">
        <v>68</v>
      </c>
      <c r="G15" s="5" t="s">
        <v>74</v>
      </c>
      <c r="H15" s="6" t="n">
        <f aca="false">SUM(COUNTIF(E15:G15,"A"),COUNTIF(E15:G15,"B"),COUNTIF(E15:G15,"Same"),COUNTIF(E15:G15,"Not sure"))</f>
        <v>3</v>
      </c>
      <c r="I15" s="6" t="str">
        <f aca="false">Participants!H8</f>
        <v>Include</v>
      </c>
      <c r="J15" s="4" t="s">
        <v>70</v>
      </c>
      <c r="K15" s="4" t="s">
        <v>83</v>
      </c>
      <c r="L15" s="4" t="s">
        <v>76</v>
      </c>
      <c r="M15" s="4" t="s">
        <v>72</v>
      </c>
      <c r="N15" s="4" t="s">
        <v>72</v>
      </c>
      <c r="O15" s="4" t="s">
        <v>76</v>
      </c>
      <c r="P15" s="6" t="n">
        <f aca="false">IF(I15&lt;&gt;"Include","",IF(E15="Not sure","",IF(E15="Same",0.5,IF(OR(AND(E15="A",L15=N15),AND(E15="B",M15=N15)),1,0))))</f>
        <v>1</v>
      </c>
      <c r="Q15" s="6" t="n">
        <f aca="false">IF(I15&lt;&gt;"Include","",IF(F15="Not sure","",IF(F15="Same",0.5,IF(OR(AND(F15="A",L15=N15),AND(F15="B",M15=N15)),1,0))))</f>
        <v>0</v>
      </c>
      <c r="R15" s="6" t="n">
        <f aca="false">IF(I15&lt;&gt;"Include","",IF(G15="Not sure","",IF(G15="Same",0.5,IF(OR(AND(G15="A",L15=N15),AND(G15="B",M15=N15)),1,0))))</f>
        <v>1</v>
      </c>
    </row>
    <row r="16" customFormat="false" ht="29" hidden="false" customHeight="true" outlineLevel="0" collapsed="false">
      <c r="A16" s="4" t="s">
        <v>39</v>
      </c>
      <c r="B16" s="4" t="n">
        <v>4</v>
      </c>
      <c r="C16" s="4" t="n">
        <v>5</v>
      </c>
      <c r="D16" s="4" t="s">
        <v>67</v>
      </c>
      <c r="E16" s="5" t="s">
        <v>74</v>
      </c>
      <c r="F16" s="5" t="s">
        <v>74</v>
      </c>
      <c r="G16" s="5" t="s">
        <v>74</v>
      </c>
      <c r="H16" s="6" t="n">
        <f aca="false">SUM(COUNTIF(E16:G16,"A"),COUNTIF(E16:G16,"B"),COUNTIF(E16:G16,"Same"),COUNTIF(E16:G16,"Not sure"))</f>
        <v>3</v>
      </c>
      <c r="I16" s="6" t="str">
        <f aca="false">Participants!H8</f>
        <v>Include</v>
      </c>
      <c r="J16" s="4" t="s">
        <v>70</v>
      </c>
      <c r="K16" s="4" t="s">
        <v>75</v>
      </c>
      <c r="L16" s="4" t="s">
        <v>77</v>
      </c>
      <c r="M16" s="4" t="s">
        <v>76</v>
      </c>
      <c r="N16" s="4" t="s">
        <v>76</v>
      </c>
      <c r="O16" s="4" t="s">
        <v>77</v>
      </c>
      <c r="P16" s="6" t="n">
        <f aca="false">IF(I16&lt;&gt;"Include","",IF(E16="Not sure","",IF(E16="Same",0.5,IF(OR(AND(E16="A",L16=N16),AND(E16="B",M16=N16)),1,0))))</f>
        <v>1</v>
      </c>
      <c r="Q16" s="6" t="n">
        <f aca="false">IF(I16&lt;&gt;"Include","",IF(F16="Not sure","",IF(F16="Same",0.5,IF(OR(AND(F16="A",L16=N16),AND(F16="B",M16=N16)),1,0))))</f>
        <v>1</v>
      </c>
      <c r="R16" s="6" t="n">
        <f aca="false">IF(I16&lt;&gt;"Include","",IF(G16="Not sure","",IF(G16="Same",0.5,IF(OR(AND(G16="A",L16=N16),AND(G16="B",M16=N16)),1,0))))</f>
        <v>1</v>
      </c>
    </row>
    <row r="17" customFormat="false" ht="29" hidden="false" customHeight="true" outlineLevel="0" collapsed="false">
      <c r="A17" s="4" t="s">
        <v>39</v>
      </c>
      <c r="B17" s="4" t="n">
        <v>5</v>
      </c>
      <c r="C17" s="4" t="n">
        <v>6</v>
      </c>
      <c r="D17" s="4" t="s">
        <v>78</v>
      </c>
      <c r="E17" s="5" t="s">
        <v>74</v>
      </c>
      <c r="F17" s="5" t="s">
        <v>74</v>
      </c>
      <c r="G17" s="5" t="s">
        <v>74</v>
      </c>
      <c r="H17" s="6" t="n">
        <f aca="false">SUM(COUNTIF(E17:G17,"A"),COUNTIF(E17:G17,"B"),COUNTIF(E17:G17,"Same"),COUNTIF(E17:G17,"Not sure"))</f>
        <v>3</v>
      </c>
      <c r="I17" s="6" t="str">
        <f aca="false">Participants!H8</f>
        <v>Include</v>
      </c>
      <c r="J17" s="4" t="s">
        <v>79</v>
      </c>
      <c r="K17" s="4" t="s">
        <v>90</v>
      </c>
      <c r="L17" s="4" t="s">
        <v>82</v>
      </c>
      <c r="M17" s="4" t="s">
        <v>81</v>
      </c>
      <c r="N17" s="4" t="s">
        <v>82</v>
      </c>
      <c r="O17" s="4" t="s">
        <v>81</v>
      </c>
      <c r="P17" s="6" t="n">
        <f aca="false">IF(I17&lt;&gt;"Include","",IF(E17="Not sure","",IF(E17="Same",0.5,IF(OR(AND(E17="A",L17=N17),AND(E17="B",M17=N17)),1,0))))</f>
        <v>0</v>
      </c>
      <c r="Q17" s="6" t="n">
        <f aca="false">IF(I17&lt;&gt;"Include","",IF(F17="Not sure","",IF(F17="Same",0.5,IF(OR(AND(F17="A",L17=N17),AND(F17="B",M17=N17)),1,0))))</f>
        <v>0</v>
      </c>
      <c r="R17" s="6" t="n">
        <f aca="false">IF(I17&lt;&gt;"Include","",IF(G17="Not sure","",IF(G17="Same",0.5,IF(OR(AND(G17="A",L17=N17),AND(G17="B",M17=N17)),1,0))))</f>
        <v>0</v>
      </c>
    </row>
    <row r="18" customFormat="false" ht="29" hidden="false" customHeight="true" outlineLevel="0" collapsed="false">
      <c r="A18" s="4" t="s">
        <v>39</v>
      </c>
      <c r="B18" s="4" t="n">
        <v>6</v>
      </c>
      <c r="C18" s="4" t="n">
        <v>7</v>
      </c>
      <c r="D18" s="4" t="s">
        <v>67</v>
      </c>
      <c r="E18" s="5" t="s">
        <v>74</v>
      </c>
      <c r="F18" s="5" t="s">
        <v>74</v>
      </c>
      <c r="G18" s="5" t="s">
        <v>74</v>
      </c>
      <c r="H18" s="6" t="n">
        <f aca="false">SUM(COUNTIF(E18:G18,"A"),COUNTIF(E18:G18,"B"),COUNTIF(E18:G18,"Same"),COUNTIF(E18:G18,"Not sure"))</f>
        <v>3</v>
      </c>
      <c r="I18" s="6" t="str">
        <f aca="false">Participants!H8</f>
        <v>Include</v>
      </c>
      <c r="J18" s="4" t="s">
        <v>70</v>
      </c>
      <c r="K18" s="4" t="s">
        <v>91</v>
      </c>
      <c r="L18" s="4" t="s">
        <v>88</v>
      </c>
      <c r="M18" s="4" t="s">
        <v>92</v>
      </c>
      <c r="N18" s="4" t="s">
        <v>88</v>
      </c>
      <c r="O18" s="4" t="s">
        <v>92</v>
      </c>
      <c r="P18" s="6" t="n">
        <f aca="false">IF(I18&lt;&gt;"Include","",IF(E18="Not sure","",IF(E18="Same",0.5,IF(OR(AND(E18="A",L18=N18),AND(E18="B",M18=N18)),1,0))))</f>
        <v>0</v>
      </c>
      <c r="Q18" s="6" t="n">
        <f aca="false">IF(I18&lt;&gt;"Include","",IF(F18="Not sure","",IF(F18="Same",0.5,IF(OR(AND(F18="A",L18=N18),AND(F18="B",M18=N18)),1,0))))</f>
        <v>0</v>
      </c>
      <c r="R18" s="6" t="n">
        <f aca="false">IF(I18&lt;&gt;"Include","",IF(G18="Not sure","",IF(G18="Same",0.5,IF(OR(AND(G18="A",L18=N18),AND(G18="B",M18=N18)),1,0))))</f>
        <v>0</v>
      </c>
    </row>
    <row r="19" customFormat="false" ht="29" hidden="false" customHeight="true" outlineLevel="0" collapsed="false">
      <c r="A19" s="4" t="s">
        <v>40</v>
      </c>
      <c r="B19" s="4" t="n">
        <v>1</v>
      </c>
      <c r="C19" s="4" t="n">
        <v>2</v>
      </c>
      <c r="D19" s="4" t="s">
        <v>78</v>
      </c>
      <c r="E19" s="5" t="s">
        <v>68</v>
      </c>
      <c r="F19" s="5" t="s">
        <v>74</v>
      </c>
      <c r="G19" s="5" t="s">
        <v>68</v>
      </c>
      <c r="H19" s="6" t="n">
        <f aca="false">SUM(COUNTIF(E19:G19,"A"),COUNTIF(E19:G19,"B"),COUNTIF(E19:G19,"Same"),COUNTIF(E19:G19,"Not sure"))</f>
        <v>3</v>
      </c>
      <c r="I19" s="6" t="str">
        <f aca="false">Participants!H9</f>
        <v>Include</v>
      </c>
      <c r="J19" s="4" t="s">
        <v>79</v>
      </c>
      <c r="K19" s="4" t="s">
        <v>93</v>
      </c>
      <c r="L19" s="4" t="s">
        <v>82</v>
      </c>
      <c r="M19" s="4" t="s">
        <v>81</v>
      </c>
      <c r="N19" s="4" t="s">
        <v>82</v>
      </c>
      <c r="O19" s="4" t="s">
        <v>81</v>
      </c>
      <c r="P19" s="6" t="n">
        <f aca="false">IF(I19&lt;&gt;"Include","",IF(E19="Not sure","",IF(E19="Same",0.5,IF(OR(AND(E19="A",L19=N19),AND(E19="B",M19=N19)),1,0))))</f>
        <v>1</v>
      </c>
      <c r="Q19" s="6" t="n">
        <f aca="false">IF(I19&lt;&gt;"Include","",IF(F19="Not sure","",IF(F19="Same",0.5,IF(OR(AND(F19="A",L19=N19),AND(F19="B",M19=N19)),1,0))))</f>
        <v>0</v>
      </c>
      <c r="R19" s="6" t="n">
        <f aca="false">IF(I19&lt;&gt;"Include","",IF(G19="Not sure","",IF(G19="Same",0.5,IF(OR(AND(G19="A",L19=N19),AND(G19="B",M19=N19)),1,0))))</f>
        <v>1</v>
      </c>
    </row>
    <row r="20" customFormat="false" ht="29" hidden="false" customHeight="true" outlineLevel="0" collapsed="false">
      <c r="A20" s="4" t="s">
        <v>40</v>
      </c>
      <c r="B20" s="4" t="n">
        <v>2</v>
      </c>
      <c r="C20" s="4" t="n">
        <v>3</v>
      </c>
      <c r="D20" s="4" t="s">
        <v>67</v>
      </c>
      <c r="E20" s="5" t="s">
        <v>68</v>
      </c>
      <c r="F20" s="5" t="s">
        <v>74</v>
      </c>
      <c r="G20" s="5" t="s">
        <v>68</v>
      </c>
      <c r="H20" s="6" t="n">
        <f aca="false">SUM(COUNTIF(E20:G20,"A"),COUNTIF(E20:G20,"B"),COUNTIF(E20:G20,"Same"),COUNTIF(E20:G20,"Not sure"))</f>
        <v>3</v>
      </c>
      <c r="I20" s="6" t="str">
        <f aca="false">Participants!H9</f>
        <v>Include</v>
      </c>
      <c r="J20" s="4" t="s">
        <v>70</v>
      </c>
      <c r="K20" s="4" t="s">
        <v>87</v>
      </c>
      <c r="L20" s="4" t="s">
        <v>88</v>
      </c>
      <c r="M20" s="4" t="s">
        <v>76</v>
      </c>
      <c r="N20" s="4" t="s">
        <v>88</v>
      </c>
      <c r="O20" s="4" t="s">
        <v>76</v>
      </c>
      <c r="P20" s="6" t="n">
        <f aca="false">IF(I20&lt;&gt;"Include","",IF(E20="Not sure","",IF(E20="Same",0.5,IF(OR(AND(E20="A",L20=N20),AND(E20="B",M20=N20)),1,0))))</f>
        <v>1</v>
      </c>
      <c r="Q20" s="6" t="n">
        <f aca="false">IF(I20&lt;&gt;"Include","",IF(F20="Not sure","",IF(F20="Same",0.5,IF(OR(AND(F20="A",L20=N20),AND(F20="B",M20=N20)),1,0))))</f>
        <v>0</v>
      </c>
      <c r="R20" s="6" t="n">
        <f aca="false">IF(I20&lt;&gt;"Include","",IF(G20="Not sure","",IF(G20="Same",0.5,IF(OR(AND(G20="A",L20=N20),AND(G20="B",M20=N20)),1,0))))</f>
        <v>1</v>
      </c>
    </row>
    <row r="21" customFormat="false" ht="29" hidden="false" customHeight="true" outlineLevel="0" collapsed="false">
      <c r="A21" s="4" t="s">
        <v>40</v>
      </c>
      <c r="B21" s="4" t="n">
        <v>3</v>
      </c>
      <c r="C21" s="4" t="n">
        <v>4</v>
      </c>
      <c r="D21" s="4" t="s">
        <v>67</v>
      </c>
      <c r="E21" s="5" t="s">
        <v>68</v>
      </c>
      <c r="F21" s="5" t="s">
        <v>74</v>
      </c>
      <c r="G21" s="5" t="s">
        <v>68</v>
      </c>
      <c r="H21" s="6" t="n">
        <f aca="false">SUM(COUNTIF(E21:G21,"A"),COUNTIF(E21:G21,"B"),COUNTIF(E21:G21,"Same"),COUNTIF(E21:G21,"Not sure"))</f>
        <v>3</v>
      </c>
      <c r="I21" s="6" t="str">
        <f aca="false">Participants!H9</f>
        <v>Include</v>
      </c>
      <c r="J21" s="4" t="s">
        <v>70</v>
      </c>
      <c r="K21" s="4" t="s">
        <v>94</v>
      </c>
      <c r="L21" s="4" t="s">
        <v>72</v>
      </c>
      <c r="M21" s="4" t="s">
        <v>85</v>
      </c>
      <c r="N21" s="4" t="s">
        <v>72</v>
      </c>
      <c r="O21" s="4" t="s">
        <v>85</v>
      </c>
      <c r="P21" s="6" t="n">
        <f aca="false">IF(I21&lt;&gt;"Include","",IF(E21="Not sure","",IF(E21="Same",0.5,IF(OR(AND(E21="A",L21=N21),AND(E21="B",M21=N21)),1,0))))</f>
        <v>1</v>
      </c>
      <c r="Q21" s="6" t="n">
        <f aca="false">IF(I21&lt;&gt;"Include","",IF(F21="Not sure","",IF(F21="Same",0.5,IF(OR(AND(F21="A",L21=N21),AND(F21="B",M21=N21)),1,0))))</f>
        <v>0</v>
      </c>
      <c r="R21" s="6" t="n">
        <f aca="false">IF(I21&lt;&gt;"Include","",IF(G21="Not sure","",IF(G21="Same",0.5,IF(OR(AND(G21="A",L21=N21),AND(G21="B",M21=N21)),1,0))))</f>
        <v>1</v>
      </c>
    </row>
    <row r="22" customFormat="false" ht="29" hidden="false" customHeight="true" outlineLevel="0" collapsed="false">
      <c r="A22" s="4" t="s">
        <v>40</v>
      </c>
      <c r="B22" s="4" t="n">
        <v>4</v>
      </c>
      <c r="C22" s="4" t="n">
        <v>5</v>
      </c>
      <c r="D22" s="4" t="s">
        <v>78</v>
      </c>
      <c r="E22" s="5" t="s">
        <v>68</v>
      </c>
      <c r="F22" s="5" t="s">
        <v>74</v>
      </c>
      <c r="G22" s="5" t="s">
        <v>68</v>
      </c>
      <c r="H22" s="6" t="n">
        <f aca="false">SUM(COUNTIF(E22:G22,"A"),COUNTIF(E22:G22,"B"),COUNTIF(E22:G22,"Same"),COUNTIF(E22:G22,"Not sure"))</f>
        <v>3</v>
      </c>
      <c r="I22" s="6" t="str">
        <f aca="false">Participants!H9</f>
        <v>Include</v>
      </c>
      <c r="J22" s="4" t="s">
        <v>79</v>
      </c>
      <c r="K22" s="4" t="s">
        <v>95</v>
      </c>
      <c r="L22" s="4" t="s">
        <v>81</v>
      </c>
      <c r="M22" s="4" t="s">
        <v>82</v>
      </c>
      <c r="N22" s="4" t="s">
        <v>82</v>
      </c>
      <c r="O22" s="4" t="s">
        <v>81</v>
      </c>
      <c r="P22" s="6" t="n">
        <f aca="false">IF(I22&lt;&gt;"Include","",IF(E22="Not sure","",IF(E22="Same",0.5,IF(OR(AND(E22="A",L22=N22),AND(E22="B",M22=N22)),1,0))))</f>
        <v>0</v>
      </c>
      <c r="Q22" s="6" t="n">
        <f aca="false">IF(I22&lt;&gt;"Include","",IF(F22="Not sure","",IF(F22="Same",0.5,IF(OR(AND(F22="A",L22=N22),AND(F22="B",M22=N22)),1,0))))</f>
        <v>1</v>
      </c>
      <c r="R22" s="6" t="n">
        <f aca="false">IF(I22&lt;&gt;"Include","",IF(G22="Not sure","",IF(G22="Same",0.5,IF(OR(AND(G22="A",L22=N22),AND(G22="B",M22=N22)),1,0))))</f>
        <v>0</v>
      </c>
    </row>
    <row r="23" customFormat="false" ht="29" hidden="false" customHeight="true" outlineLevel="0" collapsed="false">
      <c r="A23" s="4" t="s">
        <v>40</v>
      </c>
      <c r="B23" s="4" t="n">
        <v>5</v>
      </c>
      <c r="C23" s="4" t="n">
        <v>6</v>
      </c>
      <c r="D23" s="4" t="s">
        <v>67</v>
      </c>
      <c r="E23" s="5" t="s">
        <v>68</v>
      </c>
      <c r="F23" s="5" t="s">
        <v>74</v>
      </c>
      <c r="G23" s="5" t="s">
        <v>68</v>
      </c>
      <c r="H23" s="6" t="n">
        <f aca="false">SUM(COUNTIF(E23:G23,"A"),COUNTIF(E23:G23,"B"),COUNTIF(E23:G23,"Same"),COUNTIF(E23:G23,"Not sure"))</f>
        <v>3</v>
      </c>
      <c r="I23" s="6" t="str">
        <f aca="false">Participants!H9</f>
        <v>Include</v>
      </c>
      <c r="J23" s="4" t="s">
        <v>70</v>
      </c>
      <c r="K23" s="4" t="s">
        <v>96</v>
      </c>
      <c r="L23" s="4" t="s">
        <v>73</v>
      </c>
      <c r="M23" s="4" t="s">
        <v>76</v>
      </c>
      <c r="N23" s="4" t="s">
        <v>73</v>
      </c>
      <c r="O23" s="4" t="s">
        <v>76</v>
      </c>
      <c r="P23" s="6" t="n">
        <f aca="false">IF(I23&lt;&gt;"Include","",IF(E23="Not sure","",IF(E23="Same",0.5,IF(OR(AND(E23="A",L23=N23),AND(E23="B",M23=N23)),1,0))))</f>
        <v>1</v>
      </c>
      <c r="Q23" s="6" t="n">
        <f aca="false">IF(I23&lt;&gt;"Include","",IF(F23="Not sure","",IF(F23="Same",0.5,IF(OR(AND(F23="A",L23=N23),AND(F23="B",M23=N23)),1,0))))</f>
        <v>0</v>
      </c>
      <c r="R23" s="6" t="n">
        <f aca="false">IF(I23&lt;&gt;"Include","",IF(G23="Not sure","",IF(G23="Same",0.5,IF(OR(AND(G23="A",L23=N23),AND(G23="B",M23=N23)),1,0))))</f>
        <v>1</v>
      </c>
    </row>
    <row r="24" customFormat="false" ht="29" hidden="false" customHeight="true" outlineLevel="0" collapsed="false">
      <c r="A24" s="4" t="s">
        <v>40</v>
      </c>
      <c r="B24" s="4" t="n">
        <v>6</v>
      </c>
      <c r="C24" s="4" t="n">
        <v>7</v>
      </c>
      <c r="D24" s="4" t="s">
        <v>67</v>
      </c>
      <c r="E24" s="5" t="s">
        <v>74</v>
      </c>
      <c r="F24" s="5" t="s">
        <v>68</v>
      </c>
      <c r="G24" s="5" t="s">
        <v>74</v>
      </c>
      <c r="H24" s="6" t="n">
        <f aca="false">SUM(COUNTIF(E24:G24,"A"),COUNTIF(E24:G24,"B"),COUNTIF(E24:G24,"Same"),COUNTIF(E24:G24,"Not sure"))</f>
        <v>3</v>
      </c>
      <c r="I24" s="6" t="str">
        <f aca="false">Participants!H9</f>
        <v>Include</v>
      </c>
      <c r="J24" s="4" t="s">
        <v>70</v>
      </c>
      <c r="K24" s="4" t="s">
        <v>91</v>
      </c>
      <c r="L24" s="4" t="s">
        <v>92</v>
      </c>
      <c r="M24" s="4" t="s">
        <v>88</v>
      </c>
      <c r="N24" s="4" t="s">
        <v>88</v>
      </c>
      <c r="O24" s="4" t="s">
        <v>92</v>
      </c>
      <c r="P24" s="6" t="n">
        <f aca="false">IF(I24&lt;&gt;"Include","",IF(E24="Not sure","",IF(E24="Same",0.5,IF(OR(AND(E24="A",L24=N24),AND(E24="B",M24=N24)),1,0))))</f>
        <v>1</v>
      </c>
      <c r="Q24" s="6" t="n">
        <f aca="false">IF(I24&lt;&gt;"Include","",IF(F24="Not sure","",IF(F24="Same",0.5,IF(OR(AND(F24="A",L24=N24),AND(F24="B",M24=N24)),1,0))))</f>
        <v>0</v>
      </c>
      <c r="R24" s="6" t="n">
        <f aca="false">IF(I24&lt;&gt;"Include","",IF(G24="Not sure","",IF(G24="Same",0.5,IF(OR(AND(G24="A",L24=N24),AND(G24="B",M24=N24)),1,0))))</f>
        <v>1</v>
      </c>
    </row>
    <row r="25" customFormat="false" ht="29" hidden="false" customHeight="true" outlineLevel="0" collapsed="false">
      <c r="A25" s="4" t="s">
        <v>41</v>
      </c>
      <c r="B25" s="4" t="n">
        <v>1</v>
      </c>
      <c r="C25" s="4" t="n">
        <v>2</v>
      </c>
      <c r="D25" s="4" t="s">
        <v>67</v>
      </c>
      <c r="E25" s="5" t="s">
        <v>68</v>
      </c>
      <c r="F25" s="5" t="s">
        <v>68</v>
      </c>
      <c r="G25" s="5" t="s">
        <v>68</v>
      </c>
      <c r="H25" s="6" t="n">
        <f aca="false">SUM(COUNTIF(E25:G25,"A"),COUNTIF(E25:G25,"B"),COUNTIF(E25:G25,"Same"),COUNTIF(E25:G25,"Not sure"))</f>
        <v>3</v>
      </c>
      <c r="I25" s="6" t="str">
        <f aca="false">Participants!H10</f>
        <v>Check cover answers</v>
      </c>
      <c r="J25" s="4" t="s">
        <v>70</v>
      </c>
      <c r="K25" s="4" t="s">
        <v>97</v>
      </c>
      <c r="L25" s="4" t="s">
        <v>77</v>
      </c>
      <c r="M25" s="4" t="s">
        <v>73</v>
      </c>
      <c r="N25" s="4" t="s">
        <v>73</v>
      </c>
      <c r="O25" s="4" t="s">
        <v>77</v>
      </c>
      <c r="P25" s="6" t="str">
        <f aca="false">IF(I25&lt;&gt;"Include","",IF(E25="Not sure","",IF(E25="Same",0.5,IF(OR(AND(E25="A",L25=N25),AND(E25="B",M25=N25)),1,0))))</f>
        <v/>
      </c>
      <c r="Q25" s="6" t="str">
        <f aca="false">IF(I25&lt;&gt;"Include","",IF(F25="Not sure","",IF(F25="Same",0.5,IF(OR(AND(F25="A",L25=N25),AND(F25="B",M25=N25)),1,0))))</f>
        <v/>
      </c>
      <c r="R25" s="6" t="str">
        <f aca="false">IF(I25&lt;&gt;"Include","",IF(G25="Not sure","",IF(G25="Same",0.5,IF(OR(AND(G25="A",L25=N25),AND(G25="B",M25=N25)),1,0))))</f>
        <v/>
      </c>
    </row>
    <row r="26" customFormat="false" ht="29" hidden="false" customHeight="true" outlineLevel="0" collapsed="false">
      <c r="A26" s="4" t="s">
        <v>41</v>
      </c>
      <c r="B26" s="4" t="n">
        <v>2</v>
      </c>
      <c r="C26" s="4" t="n">
        <v>3</v>
      </c>
      <c r="D26" s="4" t="s">
        <v>67</v>
      </c>
      <c r="E26" s="5" t="s">
        <v>74</v>
      </c>
      <c r="F26" s="5" t="s">
        <v>68</v>
      </c>
      <c r="G26" s="5" t="s">
        <v>74</v>
      </c>
      <c r="H26" s="6" t="n">
        <f aca="false">SUM(COUNTIF(E26:G26,"A"),COUNTIF(E26:G26,"B"),COUNTIF(E26:G26,"Same"),COUNTIF(E26:G26,"Not sure"))</f>
        <v>3</v>
      </c>
      <c r="I26" s="6" t="str">
        <f aca="false">Participants!H10</f>
        <v>Check cover answers</v>
      </c>
      <c r="J26" s="4" t="s">
        <v>70</v>
      </c>
      <c r="K26" s="4" t="s">
        <v>96</v>
      </c>
      <c r="L26" s="4" t="s">
        <v>76</v>
      </c>
      <c r="M26" s="4" t="s">
        <v>73</v>
      </c>
      <c r="N26" s="4" t="s">
        <v>73</v>
      </c>
      <c r="O26" s="4" t="s">
        <v>76</v>
      </c>
      <c r="P26" s="6" t="str">
        <f aca="false">IF(I26&lt;&gt;"Include","",IF(E26="Not sure","",IF(E26="Same",0.5,IF(OR(AND(E26="A",L26=N26),AND(E26="B",M26=N26)),1,0))))</f>
        <v/>
      </c>
      <c r="Q26" s="6" t="str">
        <f aca="false">IF(I26&lt;&gt;"Include","",IF(F26="Not sure","",IF(F26="Same",0.5,IF(OR(AND(F26="A",L26=N26),AND(F26="B",M26=N26)),1,0))))</f>
        <v/>
      </c>
      <c r="R26" s="6" t="str">
        <f aca="false">IF(I26&lt;&gt;"Include","",IF(G26="Not sure","",IF(G26="Same",0.5,IF(OR(AND(G26="A",L26=N26),AND(G26="B",M26=N26)),1,0))))</f>
        <v/>
      </c>
    </row>
    <row r="27" customFormat="false" ht="29" hidden="false" customHeight="true" outlineLevel="0" collapsed="false">
      <c r="A27" s="4" t="s">
        <v>41</v>
      </c>
      <c r="B27" s="4" t="n">
        <v>3</v>
      </c>
      <c r="C27" s="4" t="n">
        <v>4</v>
      </c>
      <c r="D27" s="4" t="s">
        <v>78</v>
      </c>
      <c r="E27" s="5" t="s">
        <v>98</v>
      </c>
      <c r="F27" s="5" t="s">
        <v>98</v>
      </c>
      <c r="G27" s="5" t="s">
        <v>74</v>
      </c>
      <c r="H27" s="6" t="n">
        <f aca="false">SUM(COUNTIF(E27:G27,"A"),COUNTIF(E27:G27,"B"),COUNTIF(E27:G27,"Same"),COUNTIF(E27:G27,"Not sure"))</f>
        <v>3</v>
      </c>
      <c r="I27" s="6" t="str">
        <f aca="false">Participants!H10</f>
        <v>Check cover answers</v>
      </c>
      <c r="J27" s="4" t="s">
        <v>79</v>
      </c>
      <c r="K27" s="4" t="s">
        <v>90</v>
      </c>
      <c r="L27" s="4" t="s">
        <v>81</v>
      </c>
      <c r="M27" s="4" t="s">
        <v>82</v>
      </c>
      <c r="N27" s="4" t="s">
        <v>82</v>
      </c>
      <c r="O27" s="4" t="s">
        <v>81</v>
      </c>
      <c r="P27" s="6" t="str">
        <f aca="false">IF(I27&lt;&gt;"Include","",IF(E27="Not sure","",IF(E27="Same",0.5,IF(OR(AND(E27="A",L27=N27),AND(E27="B",M27=N27)),1,0))))</f>
        <v/>
      </c>
      <c r="Q27" s="6" t="str">
        <f aca="false">IF(I27&lt;&gt;"Include","",IF(F27="Not sure","",IF(F27="Same",0.5,IF(OR(AND(F27="A",L27=N27),AND(F27="B",M27=N27)),1,0))))</f>
        <v/>
      </c>
      <c r="R27" s="6" t="str">
        <f aca="false">IF(I27&lt;&gt;"Include","",IF(G27="Not sure","",IF(G27="Same",0.5,IF(OR(AND(G27="A",L27=N27),AND(G27="B",M27=N27)),1,0))))</f>
        <v/>
      </c>
    </row>
    <row r="28" customFormat="false" ht="29" hidden="false" customHeight="true" outlineLevel="0" collapsed="false">
      <c r="A28" s="4" t="s">
        <v>41</v>
      </c>
      <c r="B28" s="4" t="n">
        <v>4</v>
      </c>
      <c r="C28" s="4" t="n">
        <v>5</v>
      </c>
      <c r="D28" s="4" t="s">
        <v>67</v>
      </c>
      <c r="E28" s="5" t="s">
        <v>74</v>
      </c>
      <c r="F28" s="5" t="s">
        <v>74</v>
      </c>
      <c r="G28" s="5" t="s">
        <v>74</v>
      </c>
      <c r="H28" s="6" t="n">
        <f aca="false">SUM(COUNTIF(E28:G28,"A"),COUNTIF(E28:G28,"B"),COUNTIF(E28:G28,"Same"),COUNTIF(E28:G28,"Not sure"))</f>
        <v>3</v>
      </c>
      <c r="I28" s="6" t="str">
        <f aca="false">Participants!H10</f>
        <v>Check cover answers</v>
      </c>
      <c r="J28" s="4" t="s">
        <v>70</v>
      </c>
      <c r="K28" s="4" t="s">
        <v>94</v>
      </c>
      <c r="L28" s="4" t="s">
        <v>85</v>
      </c>
      <c r="M28" s="4" t="s">
        <v>72</v>
      </c>
      <c r="N28" s="4" t="s">
        <v>72</v>
      </c>
      <c r="O28" s="4" t="s">
        <v>85</v>
      </c>
      <c r="P28" s="6" t="str">
        <f aca="false">IF(I28&lt;&gt;"Include","",IF(E28="Not sure","",IF(E28="Same",0.5,IF(OR(AND(E28="A",L28=N28),AND(E28="B",M28=N28)),1,0))))</f>
        <v/>
      </c>
      <c r="Q28" s="6" t="str">
        <f aca="false">IF(I28&lt;&gt;"Include","",IF(F28="Not sure","",IF(F28="Same",0.5,IF(OR(AND(F28="A",L28=N28),AND(F28="B",M28=N28)),1,0))))</f>
        <v/>
      </c>
      <c r="R28" s="6" t="str">
        <f aca="false">IF(I28&lt;&gt;"Include","",IF(G28="Not sure","",IF(G28="Same",0.5,IF(OR(AND(G28="A",L28=N28),AND(G28="B",M28=N28)),1,0))))</f>
        <v/>
      </c>
    </row>
    <row r="29" customFormat="false" ht="29" hidden="false" customHeight="true" outlineLevel="0" collapsed="false">
      <c r="A29" s="4" t="s">
        <v>41</v>
      </c>
      <c r="B29" s="4" t="n">
        <v>5</v>
      </c>
      <c r="C29" s="4" t="n">
        <v>6</v>
      </c>
      <c r="D29" s="4" t="s">
        <v>67</v>
      </c>
      <c r="E29" s="5" t="s">
        <v>74</v>
      </c>
      <c r="F29" s="5" t="s">
        <v>74</v>
      </c>
      <c r="G29" s="5" t="s">
        <v>74</v>
      </c>
      <c r="H29" s="6" t="n">
        <f aca="false">SUM(COUNTIF(E29:G29,"A"),COUNTIF(E29:G29,"B"),COUNTIF(E29:G29,"Same"),COUNTIF(E29:G29,"Not sure"))</f>
        <v>3</v>
      </c>
      <c r="I29" s="6" t="str">
        <f aca="false">Participants!H10</f>
        <v>Check cover answers</v>
      </c>
      <c r="J29" s="4" t="s">
        <v>70</v>
      </c>
      <c r="K29" s="4" t="s">
        <v>99</v>
      </c>
      <c r="L29" s="4" t="s">
        <v>92</v>
      </c>
      <c r="M29" s="4" t="s">
        <v>72</v>
      </c>
      <c r="N29" s="4" t="s">
        <v>72</v>
      </c>
      <c r="O29" s="4" t="s">
        <v>92</v>
      </c>
      <c r="P29" s="6" t="str">
        <f aca="false">IF(I29&lt;&gt;"Include","",IF(E29="Not sure","",IF(E29="Same",0.5,IF(OR(AND(E29="A",L29=N29),AND(E29="B",M29=N29)),1,0))))</f>
        <v/>
      </c>
      <c r="Q29" s="6" t="str">
        <f aca="false">IF(I29&lt;&gt;"Include","",IF(F29="Not sure","",IF(F29="Same",0.5,IF(OR(AND(F29="A",L29=N29),AND(F29="B",M29=N29)),1,0))))</f>
        <v/>
      </c>
      <c r="R29" s="6" t="str">
        <f aca="false">IF(I29&lt;&gt;"Include","",IF(G29="Not sure","",IF(G29="Same",0.5,IF(OR(AND(G29="A",L29=N29),AND(G29="B",M29=N29)),1,0))))</f>
        <v/>
      </c>
    </row>
    <row r="30" customFormat="false" ht="29" hidden="false" customHeight="true" outlineLevel="0" collapsed="false">
      <c r="A30" s="4" t="s">
        <v>41</v>
      </c>
      <c r="B30" s="4" t="n">
        <v>6</v>
      </c>
      <c r="C30" s="4" t="n">
        <v>7</v>
      </c>
      <c r="D30" s="4" t="s">
        <v>78</v>
      </c>
      <c r="E30" s="5" t="s">
        <v>74</v>
      </c>
      <c r="F30" s="5" t="s">
        <v>68</v>
      </c>
      <c r="G30" s="5" t="s">
        <v>74</v>
      </c>
      <c r="H30" s="6" t="n">
        <f aca="false">SUM(COUNTIF(E30:G30,"A"),COUNTIF(E30:G30,"B"),COUNTIF(E30:G30,"Same"),COUNTIF(E30:G30,"Not sure"))</f>
        <v>3</v>
      </c>
      <c r="I30" s="6" t="str">
        <f aca="false">Participants!H10</f>
        <v>Check cover answers</v>
      </c>
      <c r="J30" s="4" t="s">
        <v>79</v>
      </c>
      <c r="K30" s="4" t="s">
        <v>89</v>
      </c>
      <c r="L30" s="4" t="s">
        <v>82</v>
      </c>
      <c r="M30" s="4" t="s">
        <v>81</v>
      </c>
      <c r="N30" s="4" t="s">
        <v>82</v>
      </c>
      <c r="O30" s="4" t="s">
        <v>81</v>
      </c>
      <c r="P30" s="6" t="str">
        <f aca="false">IF(I30&lt;&gt;"Include","",IF(E30="Not sure","",IF(E30="Same",0.5,IF(OR(AND(E30="A",L30=N30),AND(E30="B",M30=N30)),1,0))))</f>
        <v/>
      </c>
      <c r="Q30" s="6" t="str">
        <f aca="false">IF(I30&lt;&gt;"Include","",IF(F30="Not sure","",IF(F30="Same",0.5,IF(OR(AND(F30="A",L30=N30),AND(F30="B",M30=N30)),1,0))))</f>
        <v/>
      </c>
      <c r="R30" s="6" t="str">
        <f aca="false">IF(I30&lt;&gt;"Include","",IF(G30="Not sure","",IF(G30="Same",0.5,IF(OR(AND(G30="A",L30=N30),AND(G30="B",M30=N30)),1,0))))</f>
        <v/>
      </c>
    </row>
    <row r="31" customFormat="false" ht="29" hidden="false" customHeight="true" outlineLevel="0" collapsed="false">
      <c r="A31" s="4" t="s">
        <v>42</v>
      </c>
      <c r="B31" s="4" t="n">
        <v>1</v>
      </c>
      <c r="C31" s="4" t="n">
        <v>2</v>
      </c>
      <c r="D31" s="4" t="s">
        <v>67</v>
      </c>
      <c r="E31" s="5" t="s">
        <v>74</v>
      </c>
      <c r="F31" s="5" t="s">
        <v>98</v>
      </c>
      <c r="G31" s="5" t="s">
        <v>68</v>
      </c>
      <c r="H31" s="6" t="n">
        <f aca="false">SUM(COUNTIF(E31:G31,"A"),COUNTIF(E31:G31,"B"),COUNTIF(E31:G31,"Same"),COUNTIF(E31:G31,"Not sure"))</f>
        <v>3</v>
      </c>
      <c r="I31" s="6" t="str">
        <f aca="false">Participants!H11</f>
        <v>Include</v>
      </c>
      <c r="J31" s="4" t="s">
        <v>70</v>
      </c>
      <c r="K31" s="4" t="s">
        <v>100</v>
      </c>
      <c r="L31" s="4" t="s">
        <v>73</v>
      </c>
      <c r="M31" s="4" t="s">
        <v>85</v>
      </c>
      <c r="N31" s="4" t="s">
        <v>73</v>
      </c>
      <c r="O31" s="4" t="s">
        <v>85</v>
      </c>
      <c r="P31" s="6" t="n">
        <f aca="false">IF(I31&lt;&gt;"Include","",IF(E31="Not sure","",IF(E31="Same",0.5,IF(OR(AND(E31="A",L31=N31),AND(E31="B",M31=N31)),1,0))))</f>
        <v>0</v>
      </c>
      <c r="Q31" s="6" t="n">
        <f aca="false">IF(I31&lt;&gt;"Include","",IF(F31="Not sure","",IF(F31="Same",0.5,IF(OR(AND(F31="A",L31=N31),AND(F31="B",M31=N31)),1,0))))</f>
        <v>0.5</v>
      </c>
      <c r="R31" s="6" t="n">
        <f aca="false">IF(I31&lt;&gt;"Include","",IF(G31="Not sure","",IF(G31="Same",0.5,IF(OR(AND(G31="A",L31=N31),AND(G31="B",M31=N31)),1,0))))</f>
        <v>1</v>
      </c>
    </row>
    <row r="32" customFormat="false" ht="29" hidden="false" customHeight="true" outlineLevel="0" collapsed="false">
      <c r="A32" s="4" t="s">
        <v>42</v>
      </c>
      <c r="B32" s="4" t="n">
        <v>2</v>
      </c>
      <c r="C32" s="4" t="n">
        <v>3</v>
      </c>
      <c r="D32" s="4" t="s">
        <v>78</v>
      </c>
      <c r="E32" s="5" t="s">
        <v>74</v>
      </c>
      <c r="F32" s="5" t="s">
        <v>68</v>
      </c>
      <c r="G32" s="5" t="s">
        <v>74</v>
      </c>
      <c r="H32" s="6" t="n">
        <f aca="false">SUM(COUNTIF(E32:G32,"A"),COUNTIF(E32:G32,"B"),COUNTIF(E32:G32,"Same"),COUNTIF(E32:G32,"Not sure"))</f>
        <v>3</v>
      </c>
      <c r="I32" s="6" t="str">
        <f aca="false">Participants!H11</f>
        <v>Include</v>
      </c>
      <c r="J32" s="4" t="s">
        <v>79</v>
      </c>
      <c r="K32" s="4" t="s">
        <v>95</v>
      </c>
      <c r="L32" s="4" t="s">
        <v>82</v>
      </c>
      <c r="M32" s="4" t="s">
        <v>81</v>
      </c>
      <c r="N32" s="4" t="s">
        <v>82</v>
      </c>
      <c r="O32" s="4" t="s">
        <v>81</v>
      </c>
      <c r="P32" s="6" t="n">
        <f aca="false">IF(I32&lt;&gt;"Include","",IF(E32="Not sure","",IF(E32="Same",0.5,IF(OR(AND(E32="A",L32=N32),AND(E32="B",M32=N32)),1,0))))</f>
        <v>0</v>
      </c>
      <c r="Q32" s="6" t="n">
        <f aca="false">IF(I32&lt;&gt;"Include","",IF(F32="Not sure","",IF(F32="Same",0.5,IF(OR(AND(F32="A",L32=N32),AND(F32="B",M32=N32)),1,0))))</f>
        <v>1</v>
      </c>
      <c r="R32" s="6" t="n">
        <f aca="false">IF(I32&lt;&gt;"Include","",IF(G32="Not sure","",IF(G32="Same",0.5,IF(OR(AND(G32="A",L32=N32),AND(G32="B",M32=N32)),1,0))))</f>
        <v>0</v>
      </c>
    </row>
    <row r="33" customFormat="false" ht="29" hidden="false" customHeight="true" outlineLevel="0" collapsed="false">
      <c r="A33" s="4" t="s">
        <v>42</v>
      </c>
      <c r="B33" s="4" t="n">
        <v>3</v>
      </c>
      <c r="C33" s="4" t="n">
        <v>4</v>
      </c>
      <c r="D33" s="4" t="s">
        <v>67</v>
      </c>
      <c r="E33" s="5" t="s">
        <v>74</v>
      </c>
      <c r="F33" s="5" t="s">
        <v>74</v>
      </c>
      <c r="G33" s="5" t="s">
        <v>74</v>
      </c>
      <c r="H33" s="6" t="n">
        <f aca="false">SUM(COUNTIF(E33:G33,"A"),COUNTIF(E33:G33,"B"),COUNTIF(E33:G33,"Same"),COUNTIF(E33:G33,"Not sure"))</f>
        <v>3</v>
      </c>
      <c r="I33" s="6" t="str">
        <f aca="false">Participants!H11</f>
        <v>Include</v>
      </c>
      <c r="J33" s="4" t="s">
        <v>70</v>
      </c>
      <c r="K33" s="4" t="s">
        <v>97</v>
      </c>
      <c r="L33" s="4" t="s">
        <v>73</v>
      </c>
      <c r="M33" s="4" t="s">
        <v>77</v>
      </c>
      <c r="N33" s="4" t="s">
        <v>73</v>
      </c>
      <c r="O33" s="4" t="s">
        <v>77</v>
      </c>
      <c r="P33" s="6" t="n">
        <f aca="false">IF(I33&lt;&gt;"Include","",IF(E33="Not sure","",IF(E33="Same",0.5,IF(OR(AND(E33="A",L33=N33),AND(E33="B",M33=N33)),1,0))))</f>
        <v>0</v>
      </c>
      <c r="Q33" s="6" t="n">
        <f aca="false">IF(I33&lt;&gt;"Include","",IF(F33="Not sure","",IF(F33="Same",0.5,IF(OR(AND(F33="A",L33=N33),AND(F33="B",M33=N33)),1,0))))</f>
        <v>0</v>
      </c>
      <c r="R33" s="6" t="n">
        <f aca="false">IF(I33&lt;&gt;"Include","",IF(G33="Not sure","",IF(G33="Same",0.5,IF(OR(AND(G33="A",L33=N33),AND(G33="B",M33=N33)),1,0))))</f>
        <v>0</v>
      </c>
    </row>
    <row r="34" customFormat="false" ht="29" hidden="false" customHeight="true" outlineLevel="0" collapsed="false">
      <c r="A34" s="4" t="s">
        <v>42</v>
      </c>
      <c r="B34" s="4" t="n">
        <v>4</v>
      </c>
      <c r="C34" s="4" t="n">
        <v>5</v>
      </c>
      <c r="D34" s="4" t="s">
        <v>67</v>
      </c>
      <c r="E34" s="5" t="s">
        <v>68</v>
      </c>
      <c r="F34" s="5" t="s">
        <v>68</v>
      </c>
      <c r="G34" s="5" t="s">
        <v>68</v>
      </c>
      <c r="H34" s="6" t="n">
        <f aca="false">SUM(COUNTIF(E34:G34,"A"),COUNTIF(E34:G34,"B"),COUNTIF(E34:G34,"Same"),COUNTIF(E34:G34,"Not sure"))</f>
        <v>3</v>
      </c>
      <c r="I34" s="6" t="str">
        <f aca="false">Participants!H11</f>
        <v>Include</v>
      </c>
      <c r="J34" s="4" t="s">
        <v>70</v>
      </c>
      <c r="K34" s="4" t="s">
        <v>99</v>
      </c>
      <c r="L34" s="4" t="s">
        <v>72</v>
      </c>
      <c r="M34" s="4" t="s">
        <v>92</v>
      </c>
      <c r="N34" s="4" t="s">
        <v>72</v>
      </c>
      <c r="O34" s="4" t="s">
        <v>92</v>
      </c>
      <c r="P34" s="6" t="n">
        <f aca="false">IF(I34&lt;&gt;"Include","",IF(E34="Not sure","",IF(E34="Same",0.5,IF(OR(AND(E34="A",L34=N34),AND(E34="B",M34=N34)),1,0))))</f>
        <v>1</v>
      </c>
      <c r="Q34" s="6" t="n">
        <f aca="false">IF(I34&lt;&gt;"Include","",IF(F34="Not sure","",IF(F34="Same",0.5,IF(OR(AND(F34="A",L34=N34),AND(F34="B",M34=N34)),1,0))))</f>
        <v>1</v>
      </c>
      <c r="R34" s="6" t="n">
        <f aca="false">IF(I34&lt;&gt;"Include","",IF(G34="Not sure","",IF(G34="Same",0.5,IF(OR(AND(G34="A",L34=N34),AND(G34="B",M34=N34)),1,0))))</f>
        <v>1</v>
      </c>
    </row>
    <row r="35" customFormat="false" ht="29" hidden="false" customHeight="true" outlineLevel="0" collapsed="false">
      <c r="A35" s="4" t="s">
        <v>42</v>
      </c>
      <c r="B35" s="4" t="n">
        <v>5</v>
      </c>
      <c r="C35" s="4" t="n">
        <v>6</v>
      </c>
      <c r="D35" s="4" t="s">
        <v>78</v>
      </c>
      <c r="E35" s="5" t="s">
        <v>74</v>
      </c>
      <c r="F35" s="5" t="s">
        <v>98</v>
      </c>
      <c r="G35" s="5" t="s">
        <v>74</v>
      </c>
      <c r="H35" s="6" t="n">
        <f aca="false">SUM(COUNTIF(E35:G35,"A"),COUNTIF(E35:G35,"B"),COUNTIF(E35:G35,"Same"),COUNTIF(E35:G35,"Not sure"))</f>
        <v>3</v>
      </c>
      <c r="I35" s="6" t="str">
        <f aca="false">Participants!H11</f>
        <v>Include</v>
      </c>
      <c r="J35" s="4" t="s">
        <v>79</v>
      </c>
      <c r="K35" s="4" t="s">
        <v>101</v>
      </c>
      <c r="L35" s="4" t="s">
        <v>81</v>
      </c>
      <c r="M35" s="4" t="s">
        <v>82</v>
      </c>
      <c r="N35" s="4" t="s">
        <v>82</v>
      </c>
      <c r="O35" s="4" t="s">
        <v>81</v>
      </c>
      <c r="P35" s="6" t="n">
        <f aca="false">IF(I35&lt;&gt;"Include","",IF(E35="Not sure","",IF(E35="Same",0.5,IF(OR(AND(E35="A",L35=N35),AND(E35="B",M35=N35)),1,0))))</f>
        <v>1</v>
      </c>
      <c r="Q35" s="6" t="n">
        <f aca="false">IF(I35&lt;&gt;"Include","",IF(F35="Not sure","",IF(F35="Same",0.5,IF(OR(AND(F35="A",L35=N35),AND(F35="B",M35=N35)),1,0))))</f>
        <v>0.5</v>
      </c>
      <c r="R35" s="6" t="n">
        <f aca="false">IF(I35&lt;&gt;"Include","",IF(G35="Not sure","",IF(G35="Same",0.5,IF(OR(AND(G35="A",L35=N35),AND(G35="B",M35=N35)),1,0))))</f>
        <v>1</v>
      </c>
    </row>
    <row r="36" customFormat="false" ht="29" hidden="false" customHeight="true" outlineLevel="0" collapsed="false">
      <c r="A36" s="4" t="s">
        <v>42</v>
      </c>
      <c r="B36" s="4" t="n">
        <v>6</v>
      </c>
      <c r="C36" s="4" t="n">
        <v>7</v>
      </c>
      <c r="D36" s="4" t="s">
        <v>67</v>
      </c>
      <c r="E36" s="5" t="s">
        <v>74</v>
      </c>
      <c r="F36" s="5" t="s">
        <v>74</v>
      </c>
      <c r="G36" s="5" t="s">
        <v>98</v>
      </c>
      <c r="H36" s="6" t="n">
        <f aca="false">SUM(COUNTIF(E36:G36,"A"),COUNTIF(E36:G36,"B"),COUNTIF(E36:G36,"Same"),COUNTIF(E36:G36,"Not sure"))</f>
        <v>3</v>
      </c>
      <c r="I36" s="6" t="str">
        <f aca="false">Participants!H11</f>
        <v>Include</v>
      </c>
      <c r="J36" s="4" t="s">
        <v>70</v>
      </c>
      <c r="K36" s="4" t="s">
        <v>102</v>
      </c>
      <c r="L36" s="4" t="s">
        <v>88</v>
      </c>
      <c r="M36" s="4" t="s">
        <v>85</v>
      </c>
      <c r="N36" s="4" t="s">
        <v>85</v>
      </c>
      <c r="O36" s="4" t="s">
        <v>88</v>
      </c>
      <c r="P36" s="6" t="n">
        <f aca="false">IF(I36&lt;&gt;"Include","",IF(E36="Not sure","",IF(E36="Same",0.5,IF(OR(AND(E36="A",L36=N36),AND(E36="B",M36=N36)),1,0))))</f>
        <v>1</v>
      </c>
      <c r="Q36" s="6" t="n">
        <f aca="false">IF(I36&lt;&gt;"Include","",IF(F36="Not sure","",IF(F36="Same",0.5,IF(OR(AND(F36="A",L36=N36),AND(F36="B",M36=N36)),1,0))))</f>
        <v>1</v>
      </c>
      <c r="R36" s="6" t="n">
        <f aca="false">IF(I36&lt;&gt;"Include","",IF(G36="Not sure","",IF(G36="Same",0.5,IF(OR(AND(G36="A",L36=N36),AND(G36="B",M36=N36)),1,0))))</f>
        <v>0.5</v>
      </c>
    </row>
    <row r="37" customFormat="false" ht="29" hidden="false" customHeight="true" outlineLevel="0" collapsed="false">
      <c r="A37" s="4" t="s">
        <v>43</v>
      </c>
      <c r="B37" s="4" t="n">
        <v>1</v>
      </c>
      <c r="C37" s="4" t="n">
        <v>2</v>
      </c>
      <c r="D37" s="4" t="s">
        <v>78</v>
      </c>
      <c r="E37" s="5" t="s">
        <v>74</v>
      </c>
      <c r="F37" s="5" t="s">
        <v>68</v>
      </c>
      <c r="G37" s="5" t="s">
        <v>74</v>
      </c>
      <c r="H37" s="6" t="n">
        <f aca="false">SUM(COUNTIF(E37:G37,"A"),COUNTIF(E37:G37,"B"),COUNTIF(E37:G37,"Same"),COUNTIF(E37:G37,"Not sure"))</f>
        <v>3</v>
      </c>
      <c r="I37" s="6" t="str">
        <f aca="false">Participants!H12</f>
        <v>Include</v>
      </c>
      <c r="J37" s="4" t="s">
        <v>79</v>
      </c>
      <c r="K37" s="4" t="s">
        <v>95</v>
      </c>
      <c r="L37" s="4" t="s">
        <v>82</v>
      </c>
      <c r="M37" s="4" t="s">
        <v>81</v>
      </c>
      <c r="N37" s="4" t="s">
        <v>82</v>
      </c>
      <c r="O37" s="4" t="s">
        <v>81</v>
      </c>
      <c r="P37" s="6" t="n">
        <f aca="false">IF(I37&lt;&gt;"Include","",IF(E37="Not sure","",IF(E37="Same",0.5,IF(OR(AND(E37="A",L37=N37),AND(E37="B",M37=N37)),1,0))))</f>
        <v>0</v>
      </c>
      <c r="Q37" s="6" t="n">
        <f aca="false">IF(I37&lt;&gt;"Include","",IF(F37="Not sure","",IF(F37="Same",0.5,IF(OR(AND(F37="A",L37=N37),AND(F37="B",M37=N37)),1,0))))</f>
        <v>1</v>
      </c>
      <c r="R37" s="6" t="n">
        <f aca="false">IF(I37&lt;&gt;"Include","",IF(G37="Not sure","",IF(G37="Same",0.5,IF(OR(AND(G37="A",L37=N37),AND(G37="B",M37=N37)),1,0))))</f>
        <v>0</v>
      </c>
    </row>
    <row r="38" customFormat="false" ht="29" hidden="false" customHeight="true" outlineLevel="0" collapsed="false">
      <c r="A38" s="4" t="s">
        <v>43</v>
      </c>
      <c r="B38" s="4" t="n">
        <v>2</v>
      </c>
      <c r="C38" s="4" t="n">
        <v>3</v>
      </c>
      <c r="D38" s="4" t="s">
        <v>67</v>
      </c>
      <c r="E38" s="5" t="s">
        <v>74</v>
      </c>
      <c r="F38" s="5" t="s">
        <v>68</v>
      </c>
      <c r="G38" s="5" t="s">
        <v>68</v>
      </c>
      <c r="H38" s="6" t="n">
        <f aca="false">SUM(COUNTIF(E38:G38,"A"),COUNTIF(E38:G38,"B"),COUNTIF(E38:G38,"Same"),COUNTIF(E38:G38,"Not sure"))</f>
        <v>3</v>
      </c>
      <c r="I38" s="6" t="str">
        <f aca="false">Participants!H12</f>
        <v>Include</v>
      </c>
      <c r="J38" s="4" t="s">
        <v>70</v>
      </c>
      <c r="K38" s="4" t="s">
        <v>102</v>
      </c>
      <c r="L38" s="4" t="s">
        <v>85</v>
      </c>
      <c r="M38" s="4" t="s">
        <v>88</v>
      </c>
      <c r="N38" s="4" t="s">
        <v>85</v>
      </c>
      <c r="O38" s="4" t="s">
        <v>88</v>
      </c>
      <c r="P38" s="6" t="n">
        <f aca="false">IF(I38&lt;&gt;"Include","",IF(E38="Not sure","",IF(E38="Same",0.5,IF(OR(AND(E38="A",L38=N38),AND(E38="B",M38=N38)),1,0))))</f>
        <v>0</v>
      </c>
      <c r="Q38" s="6" t="n">
        <f aca="false">IF(I38&lt;&gt;"Include","",IF(F38="Not sure","",IF(F38="Same",0.5,IF(OR(AND(F38="A",L38=N38),AND(F38="B",M38=N38)),1,0))))</f>
        <v>1</v>
      </c>
      <c r="R38" s="6" t="n">
        <f aca="false">IF(I38&lt;&gt;"Include","",IF(G38="Not sure","",IF(G38="Same",0.5,IF(OR(AND(G38="A",L38=N38),AND(G38="B",M38=N38)),1,0))))</f>
        <v>1</v>
      </c>
    </row>
    <row r="39" customFormat="false" ht="29" hidden="false" customHeight="true" outlineLevel="0" collapsed="false">
      <c r="A39" s="4" t="s">
        <v>43</v>
      </c>
      <c r="B39" s="4" t="n">
        <v>3</v>
      </c>
      <c r="C39" s="4" t="n">
        <v>4</v>
      </c>
      <c r="D39" s="4" t="s">
        <v>67</v>
      </c>
      <c r="E39" s="5" t="s">
        <v>68</v>
      </c>
      <c r="F39" s="5" t="s">
        <v>74</v>
      </c>
      <c r="G39" s="5" t="s">
        <v>74</v>
      </c>
      <c r="H39" s="6" t="n">
        <f aca="false">SUM(COUNTIF(E39:G39,"A"),COUNTIF(E39:G39,"B"),COUNTIF(E39:G39,"Same"),COUNTIF(E39:G39,"Not sure"))</f>
        <v>3</v>
      </c>
      <c r="I39" s="6" t="str">
        <f aca="false">Participants!H12</f>
        <v>Include</v>
      </c>
      <c r="J39" s="4" t="s">
        <v>70</v>
      </c>
      <c r="K39" s="4" t="s">
        <v>103</v>
      </c>
      <c r="L39" s="4" t="s">
        <v>73</v>
      </c>
      <c r="M39" s="4" t="s">
        <v>92</v>
      </c>
      <c r="N39" s="4" t="s">
        <v>73</v>
      </c>
      <c r="O39" s="4" t="s">
        <v>92</v>
      </c>
      <c r="P39" s="6" t="n">
        <f aca="false">IF(I39&lt;&gt;"Include","",IF(E39="Not sure","",IF(E39="Same",0.5,IF(OR(AND(E39="A",L39=N39),AND(E39="B",M39=N39)),1,0))))</f>
        <v>1</v>
      </c>
      <c r="Q39" s="6" t="n">
        <f aca="false">IF(I39&lt;&gt;"Include","",IF(F39="Not sure","",IF(F39="Same",0.5,IF(OR(AND(F39="A",L39=N39),AND(F39="B",M39=N39)),1,0))))</f>
        <v>0</v>
      </c>
      <c r="R39" s="6" t="n">
        <f aca="false">IF(I39&lt;&gt;"Include","",IF(G39="Not sure","",IF(G39="Same",0.5,IF(OR(AND(G39="A",L39=N39),AND(G39="B",M39=N39)),1,0))))</f>
        <v>0</v>
      </c>
    </row>
    <row r="40" customFormat="false" ht="29" hidden="false" customHeight="true" outlineLevel="0" collapsed="false">
      <c r="A40" s="4" t="s">
        <v>43</v>
      </c>
      <c r="B40" s="4" t="n">
        <v>4</v>
      </c>
      <c r="C40" s="4" t="n">
        <v>5</v>
      </c>
      <c r="D40" s="4" t="s">
        <v>78</v>
      </c>
      <c r="E40" s="5" t="s">
        <v>68</v>
      </c>
      <c r="F40" s="5" t="s">
        <v>74</v>
      </c>
      <c r="G40" s="5" t="s">
        <v>74</v>
      </c>
      <c r="H40" s="6" t="n">
        <f aca="false">SUM(COUNTIF(E40:G40,"A"),COUNTIF(E40:G40,"B"),COUNTIF(E40:G40,"Same"),COUNTIF(E40:G40,"Not sure"))</f>
        <v>3</v>
      </c>
      <c r="I40" s="6" t="str">
        <f aca="false">Participants!H12</f>
        <v>Include</v>
      </c>
      <c r="J40" s="4" t="s">
        <v>79</v>
      </c>
      <c r="K40" s="4" t="s">
        <v>104</v>
      </c>
      <c r="L40" s="4" t="s">
        <v>81</v>
      </c>
      <c r="M40" s="4" t="s">
        <v>82</v>
      </c>
      <c r="N40" s="4" t="s">
        <v>82</v>
      </c>
      <c r="O40" s="4" t="s">
        <v>81</v>
      </c>
      <c r="P40" s="6" t="n">
        <f aca="false">IF(I40&lt;&gt;"Include","",IF(E40="Not sure","",IF(E40="Same",0.5,IF(OR(AND(E40="A",L40=N40),AND(E40="B",M40=N40)),1,0))))</f>
        <v>0</v>
      </c>
      <c r="Q40" s="6" t="n">
        <f aca="false">IF(I40&lt;&gt;"Include","",IF(F40="Not sure","",IF(F40="Same",0.5,IF(OR(AND(F40="A",L40=N40),AND(F40="B",M40=N40)),1,0))))</f>
        <v>1</v>
      </c>
      <c r="R40" s="6" t="n">
        <f aca="false">IF(I40&lt;&gt;"Include","",IF(G40="Not sure","",IF(G40="Same",0.5,IF(OR(AND(G40="A",L40=N40),AND(G40="B",M40=N40)),1,0))))</f>
        <v>1</v>
      </c>
    </row>
    <row r="41" customFormat="false" ht="29" hidden="false" customHeight="true" outlineLevel="0" collapsed="false">
      <c r="A41" s="4" t="s">
        <v>43</v>
      </c>
      <c r="B41" s="4" t="n">
        <v>5</v>
      </c>
      <c r="C41" s="4" t="n">
        <v>6</v>
      </c>
      <c r="D41" s="4" t="s">
        <v>67</v>
      </c>
      <c r="E41" s="5" t="s">
        <v>74</v>
      </c>
      <c r="F41" s="5" t="s">
        <v>68</v>
      </c>
      <c r="G41" s="5" t="s">
        <v>68</v>
      </c>
      <c r="H41" s="6" t="n">
        <f aca="false">SUM(COUNTIF(E41:G41,"A"),COUNTIF(E41:G41,"B"),COUNTIF(E41:G41,"Same"),COUNTIF(E41:G41,"Not sure"))</f>
        <v>3</v>
      </c>
      <c r="I41" s="6" t="str">
        <f aca="false">Participants!H12</f>
        <v>Include</v>
      </c>
      <c r="J41" s="4" t="s">
        <v>70</v>
      </c>
      <c r="K41" s="4" t="s">
        <v>100</v>
      </c>
      <c r="L41" s="4" t="s">
        <v>85</v>
      </c>
      <c r="M41" s="4" t="s">
        <v>73</v>
      </c>
      <c r="N41" s="4" t="s">
        <v>73</v>
      </c>
      <c r="O41" s="4" t="s">
        <v>85</v>
      </c>
      <c r="P41" s="6" t="n">
        <f aca="false">IF(I41&lt;&gt;"Include","",IF(E41="Not sure","",IF(E41="Same",0.5,IF(OR(AND(E41="A",L41=N41),AND(E41="B",M41=N41)),1,0))))</f>
        <v>1</v>
      </c>
      <c r="Q41" s="6" t="n">
        <f aca="false">IF(I41&lt;&gt;"Include","",IF(F41="Not sure","",IF(F41="Same",0.5,IF(OR(AND(F41="A",L41=N41),AND(F41="B",M41=N41)),1,0))))</f>
        <v>0</v>
      </c>
      <c r="R41" s="6" t="n">
        <f aca="false">IF(I41&lt;&gt;"Include","",IF(G41="Not sure","",IF(G41="Same",0.5,IF(OR(AND(G41="A",L41=N41),AND(G41="B",M41=N41)),1,0))))</f>
        <v>0</v>
      </c>
    </row>
    <row r="42" customFormat="false" ht="29" hidden="false" customHeight="true" outlineLevel="0" collapsed="false">
      <c r="A42" s="4" t="s">
        <v>43</v>
      </c>
      <c r="B42" s="4" t="n">
        <v>6</v>
      </c>
      <c r="C42" s="4" t="n">
        <v>7</v>
      </c>
      <c r="D42" s="4" t="s">
        <v>67</v>
      </c>
      <c r="E42" s="5" t="s">
        <v>68</v>
      </c>
      <c r="F42" s="5" t="s">
        <v>74</v>
      </c>
      <c r="G42" s="5" t="s">
        <v>68</v>
      </c>
      <c r="H42" s="6" t="n">
        <f aca="false">SUM(COUNTIF(E42:G42,"A"),COUNTIF(E42:G42,"B"),COUNTIF(E42:G42,"Same"),COUNTIF(E42:G42,"Not sure"))</f>
        <v>3</v>
      </c>
      <c r="I42" s="6" t="str">
        <f aca="false">Participants!H12</f>
        <v>Include</v>
      </c>
      <c r="J42" s="4" t="s">
        <v>70</v>
      </c>
      <c r="K42" s="4" t="s">
        <v>105</v>
      </c>
      <c r="L42" s="4" t="s">
        <v>88</v>
      </c>
      <c r="M42" s="4" t="s">
        <v>77</v>
      </c>
      <c r="N42" s="4" t="s">
        <v>88</v>
      </c>
      <c r="O42" s="4" t="s">
        <v>77</v>
      </c>
      <c r="P42" s="6" t="n">
        <f aca="false">IF(I42&lt;&gt;"Include","",IF(E42="Not sure","",IF(E42="Same",0.5,IF(OR(AND(E42="A",L42=N42),AND(E42="B",M42=N42)),1,0))))</f>
        <v>1</v>
      </c>
      <c r="Q42" s="6" t="n">
        <f aca="false">IF(I42&lt;&gt;"Include","",IF(F42="Not sure","",IF(F42="Same",0.5,IF(OR(AND(F42="A",L42=N42),AND(F42="B",M42=N42)),1,0))))</f>
        <v>0</v>
      </c>
      <c r="R42" s="6" t="n">
        <f aca="false">IF(I42&lt;&gt;"Include","",IF(G42="Not sure","",IF(G42="Same",0.5,IF(OR(AND(G42="A",L42=N42),AND(G42="B",M42=N42)),1,0))))</f>
        <v>1</v>
      </c>
    </row>
    <row r="43" customFormat="false" ht="29" hidden="false" customHeight="true" outlineLevel="0" collapsed="false">
      <c r="A43" s="4" t="s">
        <v>44</v>
      </c>
      <c r="B43" s="4" t="n">
        <v>1</v>
      </c>
      <c r="C43" s="4" t="n">
        <v>2</v>
      </c>
      <c r="D43" s="4" t="s">
        <v>67</v>
      </c>
      <c r="E43" s="5" t="s">
        <v>74</v>
      </c>
      <c r="F43" s="5" t="s">
        <v>68</v>
      </c>
      <c r="G43" s="5" t="s">
        <v>74</v>
      </c>
      <c r="H43" s="6" t="n">
        <f aca="false">SUM(COUNTIF(E43:G43,"A"),COUNTIF(E43:G43,"B"),COUNTIF(E43:G43,"Same"),COUNTIF(E43:G43,"Not sure"))</f>
        <v>3</v>
      </c>
      <c r="I43" s="6" t="str">
        <f aca="false">Participants!H13</f>
        <v>Include</v>
      </c>
      <c r="J43" s="4" t="s">
        <v>70</v>
      </c>
      <c r="K43" s="4" t="s">
        <v>103</v>
      </c>
      <c r="L43" s="4" t="s">
        <v>92</v>
      </c>
      <c r="M43" s="4" t="s">
        <v>73</v>
      </c>
      <c r="N43" s="4" t="s">
        <v>73</v>
      </c>
      <c r="O43" s="4" t="s">
        <v>92</v>
      </c>
      <c r="P43" s="6" t="n">
        <f aca="false">IF(I43&lt;&gt;"Include","",IF(E43="Not sure","",IF(E43="Same",0.5,IF(OR(AND(E43="A",L43=N43),AND(E43="B",M43=N43)),1,0))))</f>
        <v>1</v>
      </c>
      <c r="Q43" s="6" t="n">
        <f aca="false">IF(I43&lt;&gt;"Include","",IF(F43="Not sure","",IF(F43="Same",0.5,IF(OR(AND(F43="A",L43=N43),AND(F43="B",M43=N43)),1,0))))</f>
        <v>0</v>
      </c>
      <c r="R43" s="6" t="n">
        <f aca="false">IF(I43&lt;&gt;"Include","",IF(G43="Not sure","",IF(G43="Same",0.5,IF(OR(AND(G43="A",L43=N43),AND(G43="B",M43=N43)),1,0))))</f>
        <v>1</v>
      </c>
    </row>
    <row r="44" customFormat="false" ht="29" hidden="false" customHeight="true" outlineLevel="0" collapsed="false">
      <c r="A44" s="4" t="s">
        <v>44</v>
      </c>
      <c r="B44" s="4" t="n">
        <v>2</v>
      </c>
      <c r="C44" s="4" t="n">
        <v>3</v>
      </c>
      <c r="D44" s="4" t="s">
        <v>67</v>
      </c>
      <c r="E44" s="5" t="s">
        <v>74</v>
      </c>
      <c r="F44" s="5" t="s">
        <v>74</v>
      </c>
      <c r="G44" s="5" t="s">
        <v>74</v>
      </c>
      <c r="H44" s="6" t="n">
        <f aca="false">SUM(COUNTIF(E44:G44,"A"),COUNTIF(E44:G44,"B"),COUNTIF(E44:G44,"Same"),COUNTIF(E44:G44,"Not sure"))</f>
        <v>3</v>
      </c>
      <c r="I44" s="6" t="str">
        <f aca="false">Participants!H13</f>
        <v>Include</v>
      </c>
      <c r="J44" s="4" t="s">
        <v>70</v>
      </c>
      <c r="K44" s="4" t="s">
        <v>106</v>
      </c>
      <c r="L44" s="4" t="s">
        <v>77</v>
      </c>
      <c r="M44" s="4" t="s">
        <v>72</v>
      </c>
      <c r="N44" s="4" t="s">
        <v>72</v>
      </c>
      <c r="O44" s="4" t="s">
        <v>77</v>
      </c>
      <c r="P44" s="6" t="n">
        <f aca="false">IF(I44&lt;&gt;"Include","",IF(E44="Not sure","",IF(E44="Same",0.5,IF(OR(AND(E44="A",L44=N44),AND(E44="B",M44=N44)),1,0))))</f>
        <v>1</v>
      </c>
      <c r="Q44" s="6" t="n">
        <f aca="false">IF(I44&lt;&gt;"Include","",IF(F44="Not sure","",IF(F44="Same",0.5,IF(OR(AND(F44="A",L44=N44),AND(F44="B",M44=N44)),1,0))))</f>
        <v>1</v>
      </c>
      <c r="R44" s="6" t="n">
        <f aca="false">IF(I44&lt;&gt;"Include","",IF(G44="Not sure","",IF(G44="Same",0.5,IF(OR(AND(G44="A",L44=N44),AND(G44="B",M44=N44)),1,0))))</f>
        <v>1</v>
      </c>
    </row>
    <row r="45" customFormat="false" ht="29" hidden="false" customHeight="true" outlineLevel="0" collapsed="false">
      <c r="A45" s="4" t="s">
        <v>44</v>
      </c>
      <c r="B45" s="4" t="n">
        <v>3</v>
      </c>
      <c r="C45" s="4" t="n">
        <v>4</v>
      </c>
      <c r="D45" s="4" t="s">
        <v>78</v>
      </c>
      <c r="E45" s="5" t="s">
        <v>74</v>
      </c>
      <c r="F45" s="5" t="s">
        <v>74</v>
      </c>
      <c r="G45" s="5" t="s">
        <v>74</v>
      </c>
      <c r="H45" s="6" t="n">
        <f aca="false">SUM(COUNTIF(E45:G45,"A"),COUNTIF(E45:G45,"B"),COUNTIF(E45:G45,"Same"),COUNTIF(E45:G45,"Not sure"))</f>
        <v>3</v>
      </c>
      <c r="I45" s="6" t="str">
        <f aca="false">Participants!H13</f>
        <v>Include</v>
      </c>
      <c r="J45" s="4" t="s">
        <v>79</v>
      </c>
      <c r="K45" s="4" t="s">
        <v>101</v>
      </c>
      <c r="L45" s="4" t="s">
        <v>82</v>
      </c>
      <c r="M45" s="4" t="s">
        <v>81</v>
      </c>
      <c r="N45" s="4" t="s">
        <v>82</v>
      </c>
      <c r="O45" s="4" t="s">
        <v>81</v>
      </c>
      <c r="P45" s="6" t="n">
        <f aca="false">IF(I45&lt;&gt;"Include","",IF(E45="Not sure","",IF(E45="Same",0.5,IF(OR(AND(E45="A",L45=N45),AND(E45="B",M45=N45)),1,0))))</f>
        <v>0</v>
      </c>
      <c r="Q45" s="6" t="n">
        <f aca="false">IF(I45&lt;&gt;"Include","",IF(F45="Not sure","",IF(F45="Same",0.5,IF(OR(AND(F45="A",L45=N45),AND(F45="B",M45=N45)),1,0))))</f>
        <v>0</v>
      </c>
      <c r="R45" s="6" t="n">
        <f aca="false">IF(I45&lt;&gt;"Include","",IF(G45="Not sure","",IF(G45="Same",0.5,IF(OR(AND(G45="A",L45=N45),AND(G45="B",M45=N45)),1,0))))</f>
        <v>0</v>
      </c>
    </row>
    <row r="46" customFormat="false" ht="29" hidden="false" customHeight="true" outlineLevel="0" collapsed="false">
      <c r="A46" s="4" t="s">
        <v>44</v>
      </c>
      <c r="B46" s="4" t="n">
        <v>4</v>
      </c>
      <c r="C46" s="4" t="n">
        <v>5</v>
      </c>
      <c r="D46" s="4" t="s">
        <v>67</v>
      </c>
      <c r="E46" s="5" t="s">
        <v>68</v>
      </c>
      <c r="F46" s="5" t="s">
        <v>68</v>
      </c>
      <c r="G46" s="5" t="s">
        <v>74</v>
      </c>
      <c r="H46" s="6" t="n">
        <f aca="false">SUM(COUNTIF(E46:G46,"A"),COUNTIF(E46:G46,"B"),COUNTIF(E46:G46,"Same"),COUNTIF(E46:G46,"Not sure"))</f>
        <v>3</v>
      </c>
      <c r="I46" s="6" t="str">
        <f aca="false">Participants!H13</f>
        <v>Include</v>
      </c>
      <c r="J46" s="4" t="s">
        <v>70</v>
      </c>
      <c r="K46" s="4" t="s">
        <v>107</v>
      </c>
      <c r="L46" s="4" t="s">
        <v>92</v>
      </c>
      <c r="M46" s="4" t="s">
        <v>85</v>
      </c>
      <c r="N46" s="4" t="s">
        <v>85</v>
      </c>
      <c r="O46" s="4" t="s">
        <v>92</v>
      </c>
      <c r="P46" s="6" t="n">
        <f aca="false">IF(I46&lt;&gt;"Include","",IF(E46="Not sure","",IF(E46="Same",0.5,IF(OR(AND(E46="A",L46=N46),AND(E46="B",M46=N46)),1,0))))</f>
        <v>0</v>
      </c>
      <c r="Q46" s="6" t="n">
        <f aca="false">IF(I46&lt;&gt;"Include","",IF(F46="Not sure","",IF(F46="Same",0.5,IF(OR(AND(F46="A",L46=N46),AND(F46="B",M46=N46)),1,0))))</f>
        <v>0</v>
      </c>
      <c r="R46" s="6" t="n">
        <f aca="false">IF(I46&lt;&gt;"Include","",IF(G46="Not sure","",IF(G46="Same",0.5,IF(OR(AND(G46="A",L46=N46),AND(G46="B",M46=N46)),1,0))))</f>
        <v>1</v>
      </c>
    </row>
    <row r="47" customFormat="false" ht="29" hidden="false" customHeight="true" outlineLevel="0" collapsed="false">
      <c r="A47" s="4" t="s">
        <v>44</v>
      </c>
      <c r="B47" s="4" t="n">
        <v>5</v>
      </c>
      <c r="C47" s="4" t="n">
        <v>6</v>
      </c>
      <c r="D47" s="4" t="s">
        <v>67</v>
      </c>
      <c r="E47" s="5" t="s">
        <v>74</v>
      </c>
      <c r="F47" s="5" t="s">
        <v>68</v>
      </c>
      <c r="G47" s="5" t="s">
        <v>74</v>
      </c>
      <c r="H47" s="6" t="n">
        <f aca="false">SUM(COUNTIF(E47:G47,"A"),COUNTIF(E47:G47,"B"),COUNTIF(E47:G47,"Same"),COUNTIF(E47:G47,"Not sure"))</f>
        <v>3</v>
      </c>
      <c r="I47" s="6" t="str">
        <f aca="false">Participants!H13</f>
        <v>Include</v>
      </c>
      <c r="J47" s="4" t="s">
        <v>70</v>
      </c>
      <c r="K47" s="4" t="s">
        <v>105</v>
      </c>
      <c r="L47" s="4" t="s">
        <v>77</v>
      </c>
      <c r="M47" s="4" t="s">
        <v>88</v>
      </c>
      <c r="N47" s="4" t="s">
        <v>88</v>
      </c>
      <c r="O47" s="4" t="s">
        <v>77</v>
      </c>
      <c r="P47" s="6" t="n">
        <f aca="false">IF(I47&lt;&gt;"Include","",IF(E47="Not sure","",IF(E47="Same",0.5,IF(OR(AND(E47="A",L47=N47),AND(E47="B",M47=N47)),1,0))))</f>
        <v>1</v>
      </c>
      <c r="Q47" s="6" t="n">
        <f aca="false">IF(I47&lt;&gt;"Include","",IF(F47="Not sure","",IF(F47="Same",0.5,IF(OR(AND(F47="A",L47=N47),AND(F47="B",M47=N47)),1,0))))</f>
        <v>0</v>
      </c>
      <c r="R47" s="6" t="n">
        <f aca="false">IF(I47&lt;&gt;"Include","",IF(G47="Not sure","",IF(G47="Same",0.5,IF(OR(AND(G47="A",L47=N47),AND(G47="B",M47=N47)),1,0))))</f>
        <v>1</v>
      </c>
    </row>
    <row r="48" customFormat="false" ht="29" hidden="false" customHeight="true" outlineLevel="0" collapsed="false">
      <c r="A48" s="4" t="s">
        <v>44</v>
      </c>
      <c r="B48" s="4" t="n">
        <v>6</v>
      </c>
      <c r="C48" s="4" t="n">
        <v>7</v>
      </c>
      <c r="D48" s="4" t="s">
        <v>78</v>
      </c>
      <c r="E48" s="5" t="s">
        <v>68</v>
      </c>
      <c r="F48" s="5" t="s">
        <v>74</v>
      </c>
      <c r="G48" s="5" t="s">
        <v>74</v>
      </c>
      <c r="H48" s="6" t="n">
        <f aca="false">SUM(COUNTIF(E48:G48,"A"),COUNTIF(E48:G48,"B"),COUNTIF(E48:G48,"Same"),COUNTIF(E48:G48,"Not sure"))</f>
        <v>3</v>
      </c>
      <c r="I48" s="6" t="str">
        <f aca="false">Participants!H13</f>
        <v>Include</v>
      </c>
      <c r="J48" s="4" t="s">
        <v>79</v>
      </c>
      <c r="K48" s="4" t="s">
        <v>95</v>
      </c>
      <c r="L48" s="4" t="s">
        <v>81</v>
      </c>
      <c r="M48" s="4" t="s">
        <v>82</v>
      </c>
      <c r="N48" s="4" t="s">
        <v>82</v>
      </c>
      <c r="O48" s="4" t="s">
        <v>81</v>
      </c>
      <c r="P48" s="6" t="n">
        <f aca="false">IF(I48&lt;&gt;"Include","",IF(E48="Not sure","",IF(E48="Same",0.5,IF(OR(AND(E48="A",L48=N48),AND(E48="B",M48=N48)),1,0))))</f>
        <v>0</v>
      </c>
      <c r="Q48" s="6" t="n">
        <f aca="false">IF(I48&lt;&gt;"Include","",IF(F48="Not sure","",IF(F48="Same",0.5,IF(OR(AND(F48="A",L48=N48),AND(F48="B",M48=N48)),1,0))))</f>
        <v>1</v>
      </c>
      <c r="R48" s="6" t="n">
        <f aca="false">IF(I48&lt;&gt;"Include","",IF(G48="Not sure","",IF(G48="Same",0.5,IF(OR(AND(G48="A",L48=N48),AND(G48="B",M48=N48)),1,0))))</f>
        <v>1</v>
      </c>
    </row>
    <row r="49" customFormat="false" ht="29" hidden="false" customHeight="true" outlineLevel="0" collapsed="false">
      <c r="A49" s="4" t="s">
        <v>45</v>
      </c>
      <c r="B49" s="4" t="n">
        <v>1</v>
      </c>
      <c r="C49" s="4" t="n">
        <v>2</v>
      </c>
      <c r="D49" s="4" t="s">
        <v>67</v>
      </c>
      <c r="E49" s="5" t="s">
        <v>74</v>
      </c>
      <c r="F49" s="5" t="s">
        <v>74</v>
      </c>
      <c r="G49" s="5" t="s">
        <v>74</v>
      </c>
      <c r="H49" s="6" t="n">
        <f aca="false">SUM(COUNTIF(E49:G49,"A"),COUNTIF(E49:G49,"B"),COUNTIF(E49:G49,"Same"),COUNTIF(E49:G49,"Not sure"))</f>
        <v>3</v>
      </c>
      <c r="I49" s="6" t="str">
        <f aca="false">Participants!H14</f>
        <v>Include</v>
      </c>
      <c r="J49" s="4" t="s">
        <v>70</v>
      </c>
      <c r="K49" s="4" t="s">
        <v>108</v>
      </c>
      <c r="L49" s="4" t="s">
        <v>85</v>
      </c>
      <c r="M49" s="4" t="s">
        <v>76</v>
      </c>
      <c r="N49" s="4" t="s">
        <v>85</v>
      </c>
      <c r="O49" s="4" t="s">
        <v>76</v>
      </c>
      <c r="P49" s="6" t="n">
        <f aca="false">IF(I49&lt;&gt;"Include","",IF(E49="Not sure","",IF(E49="Same",0.5,IF(OR(AND(E49="A",L49=N49),AND(E49="B",M49=N49)),1,0))))</f>
        <v>0</v>
      </c>
      <c r="Q49" s="6" t="n">
        <f aca="false">IF(I49&lt;&gt;"Include","",IF(F49="Not sure","",IF(F49="Same",0.5,IF(OR(AND(F49="A",L49=N49),AND(F49="B",M49=N49)),1,0))))</f>
        <v>0</v>
      </c>
      <c r="R49" s="6" t="n">
        <f aca="false">IF(I49&lt;&gt;"Include","",IF(G49="Not sure","",IF(G49="Same",0.5,IF(OR(AND(G49="A",L49=N49),AND(G49="B",M49=N49)),1,0))))</f>
        <v>0</v>
      </c>
    </row>
    <row r="50" customFormat="false" ht="29" hidden="false" customHeight="true" outlineLevel="0" collapsed="false">
      <c r="A50" s="4" t="s">
        <v>45</v>
      </c>
      <c r="B50" s="4" t="n">
        <v>2</v>
      </c>
      <c r="C50" s="4" t="n">
        <v>3</v>
      </c>
      <c r="D50" s="4" t="s">
        <v>78</v>
      </c>
      <c r="E50" s="5" t="s">
        <v>68</v>
      </c>
      <c r="F50" s="5" t="s">
        <v>68</v>
      </c>
      <c r="G50" s="5" t="s">
        <v>68</v>
      </c>
      <c r="H50" s="6" t="n">
        <f aca="false">SUM(COUNTIF(E50:G50,"A"),COUNTIF(E50:G50,"B"),COUNTIF(E50:G50,"Same"),COUNTIF(E50:G50,"Not sure"))</f>
        <v>3</v>
      </c>
      <c r="I50" s="6" t="str">
        <f aca="false">Participants!H14</f>
        <v>Include</v>
      </c>
      <c r="J50" s="4" t="s">
        <v>79</v>
      </c>
      <c r="K50" s="4" t="s">
        <v>93</v>
      </c>
      <c r="L50" s="4" t="s">
        <v>81</v>
      </c>
      <c r="M50" s="4" t="s">
        <v>82</v>
      </c>
      <c r="N50" s="4" t="s">
        <v>82</v>
      </c>
      <c r="O50" s="4" t="s">
        <v>81</v>
      </c>
      <c r="P50" s="6" t="n">
        <f aca="false">IF(I50&lt;&gt;"Include","",IF(E50="Not sure","",IF(E50="Same",0.5,IF(OR(AND(E50="A",L50=N50),AND(E50="B",M50=N50)),1,0))))</f>
        <v>0</v>
      </c>
      <c r="Q50" s="6" t="n">
        <f aca="false">IF(I50&lt;&gt;"Include","",IF(F50="Not sure","",IF(F50="Same",0.5,IF(OR(AND(F50="A",L50=N50),AND(F50="B",M50=N50)),1,0))))</f>
        <v>0</v>
      </c>
      <c r="R50" s="6" t="n">
        <f aca="false">IF(I50&lt;&gt;"Include","",IF(G50="Not sure","",IF(G50="Same",0.5,IF(OR(AND(G50="A",L50=N50),AND(G50="B",M50=N50)),1,0))))</f>
        <v>0</v>
      </c>
    </row>
    <row r="51" customFormat="false" ht="29" hidden="false" customHeight="true" outlineLevel="0" collapsed="false">
      <c r="A51" s="4" t="s">
        <v>45</v>
      </c>
      <c r="B51" s="4" t="n">
        <v>3</v>
      </c>
      <c r="C51" s="4" t="n">
        <v>4</v>
      </c>
      <c r="D51" s="4" t="s">
        <v>67</v>
      </c>
      <c r="E51" s="5" t="s">
        <v>74</v>
      </c>
      <c r="F51" s="5" t="s">
        <v>74</v>
      </c>
      <c r="G51" s="5" t="s">
        <v>74</v>
      </c>
      <c r="H51" s="6" t="n">
        <f aca="false">SUM(COUNTIF(E51:G51,"A"),COUNTIF(E51:G51,"B"),COUNTIF(E51:G51,"Same"),COUNTIF(E51:G51,"Not sure"))</f>
        <v>3</v>
      </c>
      <c r="I51" s="6" t="str">
        <f aca="false">Participants!H14</f>
        <v>Include</v>
      </c>
      <c r="J51" s="4" t="s">
        <v>70</v>
      </c>
      <c r="K51" s="4" t="s">
        <v>109</v>
      </c>
      <c r="L51" s="4" t="s">
        <v>88</v>
      </c>
      <c r="M51" s="4" t="s">
        <v>72</v>
      </c>
      <c r="N51" s="4" t="s">
        <v>72</v>
      </c>
      <c r="O51" s="4" t="s">
        <v>88</v>
      </c>
      <c r="P51" s="6" t="n">
        <f aca="false">IF(I51&lt;&gt;"Include","",IF(E51="Not sure","",IF(E51="Same",0.5,IF(OR(AND(E51="A",L51=N51),AND(E51="B",M51=N51)),1,0))))</f>
        <v>1</v>
      </c>
      <c r="Q51" s="6" t="n">
        <f aca="false">IF(I51&lt;&gt;"Include","",IF(F51="Not sure","",IF(F51="Same",0.5,IF(OR(AND(F51="A",L51=N51),AND(F51="B",M51=N51)),1,0))))</f>
        <v>1</v>
      </c>
      <c r="R51" s="6" t="n">
        <f aca="false">IF(I51&lt;&gt;"Include","",IF(G51="Not sure","",IF(G51="Same",0.5,IF(OR(AND(G51="A",L51=N51),AND(G51="B",M51=N51)),1,0))))</f>
        <v>1</v>
      </c>
    </row>
    <row r="52" customFormat="false" ht="29" hidden="false" customHeight="true" outlineLevel="0" collapsed="false">
      <c r="A52" s="4" t="s">
        <v>45</v>
      </c>
      <c r="B52" s="4" t="n">
        <v>4</v>
      </c>
      <c r="C52" s="4" t="n">
        <v>5</v>
      </c>
      <c r="D52" s="4" t="s">
        <v>67</v>
      </c>
      <c r="E52" s="5" t="s">
        <v>74</v>
      </c>
      <c r="F52" s="5" t="s">
        <v>74</v>
      </c>
      <c r="G52" s="5" t="s">
        <v>74</v>
      </c>
      <c r="H52" s="6" t="n">
        <f aca="false">SUM(COUNTIF(E52:G52,"A"),COUNTIF(E52:G52,"B"),COUNTIF(E52:G52,"Same"),COUNTIF(E52:G52,"Not sure"))</f>
        <v>3</v>
      </c>
      <c r="I52" s="6" t="str">
        <f aca="false">Participants!H14</f>
        <v>Include</v>
      </c>
      <c r="J52" s="4" t="s">
        <v>70</v>
      </c>
      <c r="K52" s="4" t="s">
        <v>107</v>
      </c>
      <c r="L52" s="4" t="s">
        <v>85</v>
      </c>
      <c r="M52" s="4" t="s">
        <v>92</v>
      </c>
      <c r="N52" s="4" t="s">
        <v>85</v>
      </c>
      <c r="O52" s="4" t="s">
        <v>92</v>
      </c>
      <c r="P52" s="6" t="n">
        <f aca="false">IF(I52&lt;&gt;"Include","",IF(E52="Not sure","",IF(E52="Same",0.5,IF(OR(AND(E52="A",L52=N52),AND(E52="B",M52=N52)),1,0))))</f>
        <v>0</v>
      </c>
      <c r="Q52" s="6" t="n">
        <f aca="false">IF(I52&lt;&gt;"Include","",IF(F52="Not sure","",IF(F52="Same",0.5,IF(OR(AND(F52="A",L52=N52),AND(F52="B",M52=N52)),1,0))))</f>
        <v>0</v>
      </c>
      <c r="R52" s="6" t="n">
        <f aca="false">IF(I52&lt;&gt;"Include","",IF(G52="Not sure","",IF(G52="Same",0.5,IF(OR(AND(G52="A",L52=N52),AND(G52="B",M52=N52)),1,0))))</f>
        <v>0</v>
      </c>
    </row>
    <row r="53" customFormat="false" ht="29" hidden="false" customHeight="true" outlineLevel="0" collapsed="false">
      <c r="A53" s="4" t="s">
        <v>45</v>
      </c>
      <c r="B53" s="4" t="n">
        <v>5</v>
      </c>
      <c r="C53" s="4" t="n">
        <v>6</v>
      </c>
      <c r="D53" s="4" t="s">
        <v>78</v>
      </c>
      <c r="E53" s="5" t="s">
        <v>68</v>
      </c>
      <c r="F53" s="5" t="s">
        <v>68</v>
      </c>
      <c r="G53" s="5" t="s">
        <v>68</v>
      </c>
      <c r="H53" s="6" t="n">
        <f aca="false">SUM(COUNTIF(E53:G53,"A"),COUNTIF(E53:G53,"B"),COUNTIF(E53:G53,"Same"),COUNTIF(E53:G53,"Not sure"))</f>
        <v>3</v>
      </c>
      <c r="I53" s="6" t="str">
        <f aca="false">Participants!H14</f>
        <v>Include</v>
      </c>
      <c r="J53" s="4" t="s">
        <v>79</v>
      </c>
      <c r="K53" s="4" t="s">
        <v>80</v>
      </c>
      <c r="L53" s="4" t="s">
        <v>82</v>
      </c>
      <c r="M53" s="4" t="s">
        <v>81</v>
      </c>
      <c r="N53" s="4" t="s">
        <v>82</v>
      </c>
      <c r="O53" s="4" t="s">
        <v>81</v>
      </c>
      <c r="P53" s="6" t="n">
        <f aca="false">IF(I53&lt;&gt;"Include","",IF(E53="Not sure","",IF(E53="Same",0.5,IF(OR(AND(E53="A",L53=N53),AND(E53="B",M53=N53)),1,0))))</f>
        <v>1</v>
      </c>
      <c r="Q53" s="6" t="n">
        <f aca="false">IF(I53&lt;&gt;"Include","",IF(F53="Not sure","",IF(F53="Same",0.5,IF(OR(AND(F53="A",L53=N53),AND(F53="B",M53=N53)),1,0))))</f>
        <v>1</v>
      </c>
      <c r="R53" s="6" t="n">
        <f aca="false">IF(I53&lt;&gt;"Include","",IF(G53="Not sure","",IF(G53="Same",0.5,IF(OR(AND(G53="A",L53=N53),AND(G53="B",M53=N53)),1,0))))</f>
        <v>1</v>
      </c>
    </row>
    <row r="54" customFormat="false" ht="29" hidden="false" customHeight="true" outlineLevel="0" collapsed="false">
      <c r="A54" s="4" t="s">
        <v>45</v>
      </c>
      <c r="B54" s="4" t="n">
        <v>6</v>
      </c>
      <c r="C54" s="4" t="n">
        <v>7</v>
      </c>
      <c r="D54" s="4" t="s">
        <v>67</v>
      </c>
      <c r="E54" s="5" t="s">
        <v>74</v>
      </c>
      <c r="F54" s="5" t="s">
        <v>74</v>
      </c>
      <c r="G54" s="5" t="s">
        <v>74</v>
      </c>
      <c r="H54" s="6" t="n">
        <f aca="false">SUM(COUNTIF(E54:G54,"A"),COUNTIF(E54:G54,"B"),COUNTIF(E54:G54,"Same"),COUNTIF(E54:G54,"Not sure"))</f>
        <v>3</v>
      </c>
      <c r="I54" s="6" t="str">
        <f aca="false">Participants!H14</f>
        <v>Include</v>
      </c>
      <c r="J54" s="4" t="s">
        <v>70</v>
      </c>
      <c r="K54" s="4" t="s">
        <v>106</v>
      </c>
      <c r="L54" s="4" t="s">
        <v>72</v>
      </c>
      <c r="M54" s="4" t="s">
        <v>77</v>
      </c>
      <c r="N54" s="4" t="s">
        <v>72</v>
      </c>
      <c r="O54" s="4" t="s">
        <v>77</v>
      </c>
      <c r="P54" s="6" t="n">
        <f aca="false">IF(I54&lt;&gt;"Include","",IF(E54="Not sure","",IF(E54="Same",0.5,IF(OR(AND(E54="A",L54=N54),AND(E54="B",M54=N54)),1,0))))</f>
        <v>0</v>
      </c>
      <c r="Q54" s="6" t="n">
        <f aca="false">IF(I54&lt;&gt;"Include","",IF(F54="Not sure","",IF(F54="Same",0.5,IF(OR(AND(F54="A",L54=N54),AND(F54="B",M54=N54)),1,0))))</f>
        <v>0</v>
      </c>
      <c r="R54" s="6" t="n">
        <f aca="false">IF(I54&lt;&gt;"Include","",IF(G54="Not sure","",IF(G54="Same",0.5,IF(OR(AND(G54="A",L54=N54),AND(G54="B",M54=N54)),1,0))))</f>
        <v>0</v>
      </c>
    </row>
    <row r="55" customFormat="false" ht="29" hidden="false" customHeight="true" outlineLevel="0" collapsed="false">
      <c r="A55" s="4" t="s">
        <v>46</v>
      </c>
      <c r="B55" s="4" t="n">
        <v>1</v>
      </c>
      <c r="C55" s="4" t="n">
        <v>2</v>
      </c>
      <c r="D55" s="4" t="s">
        <v>78</v>
      </c>
      <c r="E55" s="5" t="s">
        <v>68</v>
      </c>
      <c r="F55" s="5" t="s">
        <v>68</v>
      </c>
      <c r="G55" s="5" t="s">
        <v>68</v>
      </c>
      <c r="H55" s="6" t="n">
        <f aca="false">SUM(COUNTIF(E55:G55,"A"),COUNTIF(E55:G55,"B"),COUNTIF(E55:G55,"Same"),COUNTIF(E55:G55,"Not sure"))</f>
        <v>3</v>
      </c>
      <c r="I55" s="6" t="str">
        <f aca="false">Participants!H15</f>
        <v>Include</v>
      </c>
      <c r="J55" s="4" t="s">
        <v>79</v>
      </c>
      <c r="K55" s="4" t="s">
        <v>110</v>
      </c>
      <c r="L55" s="4" t="s">
        <v>81</v>
      </c>
      <c r="M55" s="4" t="s">
        <v>82</v>
      </c>
      <c r="N55" s="4" t="s">
        <v>82</v>
      </c>
      <c r="O55" s="4" t="s">
        <v>81</v>
      </c>
      <c r="P55" s="6" t="n">
        <f aca="false">IF(I55&lt;&gt;"Include","",IF(E55="Not sure","",IF(E55="Same",0.5,IF(OR(AND(E55="A",L55=N55),AND(E55="B",M55=N55)),1,0))))</f>
        <v>0</v>
      </c>
      <c r="Q55" s="6" t="n">
        <f aca="false">IF(I55&lt;&gt;"Include","",IF(F55="Not sure","",IF(F55="Same",0.5,IF(OR(AND(F55="A",L55=N55),AND(F55="B",M55=N55)),1,0))))</f>
        <v>0</v>
      </c>
      <c r="R55" s="6" t="n">
        <f aca="false">IF(I55&lt;&gt;"Include","",IF(G55="Not sure","",IF(G55="Same",0.5,IF(OR(AND(G55="A",L55=N55),AND(G55="B",M55=N55)),1,0))))</f>
        <v>0</v>
      </c>
    </row>
    <row r="56" customFormat="false" ht="29" hidden="false" customHeight="true" outlineLevel="0" collapsed="false">
      <c r="A56" s="4" t="s">
        <v>46</v>
      </c>
      <c r="B56" s="4" t="n">
        <v>2</v>
      </c>
      <c r="C56" s="4" t="n">
        <v>3</v>
      </c>
      <c r="D56" s="4" t="s">
        <v>67</v>
      </c>
      <c r="E56" s="5" t="s">
        <v>68</v>
      </c>
      <c r="F56" s="5" t="s">
        <v>68</v>
      </c>
      <c r="G56" s="5" t="s">
        <v>68</v>
      </c>
      <c r="H56" s="6" t="n">
        <f aca="false">SUM(COUNTIF(E56:G56,"A"),COUNTIF(E56:G56,"B"),COUNTIF(E56:G56,"Same"),COUNTIF(E56:G56,"Not sure"))</f>
        <v>3</v>
      </c>
      <c r="I56" s="6" t="str">
        <f aca="false">Participants!H15</f>
        <v>Include</v>
      </c>
      <c r="J56" s="4" t="s">
        <v>70</v>
      </c>
      <c r="K56" s="4" t="s">
        <v>108</v>
      </c>
      <c r="L56" s="4" t="s">
        <v>76</v>
      </c>
      <c r="M56" s="4" t="s">
        <v>85</v>
      </c>
      <c r="N56" s="4" t="s">
        <v>85</v>
      </c>
      <c r="O56" s="4" t="s">
        <v>76</v>
      </c>
      <c r="P56" s="6" t="n">
        <f aca="false">IF(I56&lt;&gt;"Include","",IF(E56="Not sure","",IF(E56="Same",0.5,IF(OR(AND(E56="A",L56=N56),AND(E56="B",M56=N56)),1,0))))</f>
        <v>0</v>
      </c>
      <c r="Q56" s="6" t="n">
        <f aca="false">IF(I56&lt;&gt;"Include","",IF(F56="Not sure","",IF(F56="Same",0.5,IF(OR(AND(F56="A",L56=N56),AND(F56="B",M56=N56)),1,0))))</f>
        <v>0</v>
      </c>
      <c r="R56" s="6" t="n">
        <f aca="false">IF(I56&lt;&gt;"Include","",IF(G56="Not sure","",IF(G56="Same",0.5,IF(OR(AND(G56="A",L56=N56),AND(G56="B",M56=N56)),1,0))))</f>
        <v>0</v>
      </c>
    </row>
    <row r="57" customFormat="false" ht="29" hidden="false" customHeight="true" outlineLevel="0" collapsed="false">
      <c r="A57" s="4" t="s">
        <v>46</v>
      </c>
      <c r="B57" s="4" t="n">
        <v>3</v>
      </c>
      <c r="C57" s="4" t="n">
        <v>4</v>
      </c>
      <c r="D57" s="4" t="s">
        <v>67</v>
      </c>
      <c r="E57" s="5" t="s">
        <v>74</v>
      </c>
      <c r="F57" s="5" t="s">
        <v>74</v>
      </c>
      <c r="G57" s="5" t="s">
        <v>74</v>
      </c>
      <c r="H57" s="6" t="n">
        <f aca="false">SUM(COUNTIF(E57:G57,"A"),COUNTIF(E57:G57,"B"),COUNTIF(E57:G57,"Same"),COUNTIF(E57:G57,"Not sure"))</f>
        <v>3</v>
      </c>
      <c r="I57" s="6" t="str">
        <f aca="false">Participants!H15</f>
        <v>Include</v>
      </c>
      <c r="J57" s="4" t="s">
        <v>70</v>
      </c>
      <c r="K57" s="4" t="s">
        <v>111</v>
      </c>
      <c r="L57" s="4" t="s">
        <v>92</v>
      </c>
      <c r="M57" s="4" t="s">
        <v>77</v>
      </c>
      <c r="N57" s="4" t="s">
        <v>92</v>
      </c>
      <c r="O57" s="4" t="s">
        <v>77</v>
      </c>
      <c r="P57" s="6" t="n">
        <f aca="false">IF(I57&lt;&gt;"Include","",IF(E57="Not sure","",IF(E57="Same",0.5,IF(OR(AND(E57="A",L57=N57),AND(E57="B",M57=N57)),1,0))))</f>
        <v>0</v>
      </c>
      <c r="Q57" s="6" t="n">
        <f aca="false">IF(I57&lt;&gt;"Include","",IF(F57="Not sure","",IF(F57="Same",0.5,IF(OR(AND(F57="A",L57=N57),AND(F57="B",M57=N57)),1,0))))</f>
        <v>0</v>
      </c>
      <c r="R57" s="6" t="n">
        <f aca="false">IF(I57&lt;&gt;"Include","",IF(G57="Not sure","",IF(G57="Same",0.5,IF(OR(AND(G57="A",L57=N57),AND(G57="B",M57=N57)),1,0))))</f>
        <v>0</v>
      </c>
    </row>
    <row r="58" customFormat="false" ht="29" hidden="false" customHeight="true" outlineLevel="0" collapsed="false">
      <c r="A58" s="4" t="s">
        <v>46</v>
      </c>
      <c r="B58" s="4" t="n">
        <v>4</v>
      </c>
      <c r="C58" s="4" t="n">
        <v>5</v>
      </c>
      <c r="D58" s="4" t="s">
        <v>78</v>
      </c>
      <c r="E58" s="5" t="s">
        <v>68</v>
      </c>
      <c r="F58" s="5" t="s">
        <v>68</v>
      </c>
      <c r="G58" s="5" t="s">
        <v>68</v>
      </c>
      <c r="H58" s="6" t="n">
        <f aca="false">SUM(COUNTIF(E58:G58,"A"),COUNTIF(E58:G58,"B"),COUNTIF(E58:G58,"Same"),COUNTIF(E58:G58,"Not sure"))</f>
        <v>3</v>
      </c>
      <c r="I58" s="6" t="str">
        <f aca="false">Participants!H15</f>
        <v>Include</v>
      </c>
      <c r="J58" s="4" t="s">
        <v>79</v>
      </c>
      <c r="K58" s="4" t="s">
        <v>104</v>
      </c>
      <c r="L58" s="4" t="s">
        <v>82</v>
      </c>
      <c r="M58" s="4" t="s">
        <v>81</v>
      </c>
      <c r="N58" s="4" t="s">
        <v>82</v>
      </c>
      <c r="O58" s="4" t="s">
        <v>81</v>
      </c>
      <c r="P58" s="6" t="n">
        <f aca="false">IF(I58&lt;&gt;"Include","",IF(E58="Not sure","",IF(E58="Same",0.5,IF(OR(AND(E58="A",L58=N58),AND(E58="B",M58=N58)),1,0))))</f>
        <v>1</v>
      </c>
      <c r="Q58" s="6" t="n">
        <f aca="false">IF(I58&lt;&gt;"Include","",IF(F58="Not sure","",IF(F58="Same",0.5,IF(OR(AND(F58="A",L58=N58),AND(F58="B",M58=N58)),1,0))))</f>
        <v>1</v>
      </c>
      <c r="R58" s="6" t="n">
        <f aca="false">IF(I58&lt;&gt;"Include","",IF(G58="Not sure","",IF(G58="Same",0.5,IF(OR(AND(G58="A",L58=N58),AND(G58="B",M58=N58)),1,0))))</f>
        <v>1</v>
      </c>
    </row>
    <row r="59" customFormat="false" ht="29" hidden="false" customHeight="true" outlineLevel="0" collapsed="false">
      <c r="A59" s="4" t="s">
        <v>46</v>
      </c>
      <c r="B59" s="4" t="n">
        <v>5</v>
      </c>
      <c r="C59" s="4" t="n">
        <v>6</v>
      </c>
      <c r="D59" s="4" t="s">
        <v>67</v>
      </c>
      <c r="E59" s="5" t="s">
        <v>68</v>
      </c>
      <c r="F59" s="5" t="s">
        <v>68</v>
      </c>
      <c r="G59" s="5" t="s">
        <v>68</v>
      </c>
      <c r="H59" s="6" t="n">
        <f aca="false">SUM(COUNTIF(E59:G59,"A"),COUNTIF(E59:G59,"B"),COUNTIF(E59:G59,"Same"),COUNTIF(E59:G59,"Not sure"))</f>
        <v>3</v>
      </c>
      <c r="I59" s="6" t="str">
        <f aca="false">Participants!H15</f>
        <v>Include</v>
      </c>
      <c r="J59" s="4" t="s">
        <v>70</v>
      </c>
      <c r="K59" s="4" t="s">
        <v>105</v>
      </c>
      <c r="L59" s="4" t="s">
        <v>77</v>
      </c>
      <c r="M59" s="4" t="s">
        <v>88</v>
      </c>
      <c r="N59" s="4" t="s">
        <v>88</v>
      </c>
      <c r="O59" s="4" t="s">
        <v>77</v>
      </c>
      <c r="P59" s="6" t="n">
        <f aca="false">IF(I59&lt;&gt;"Include","",IF(E59="Not sure","",IF(E59="Same",0.5,IF(OR(AND(E59="A",L59=N59),AND(E59="B",M59=N59)),1,0))))</f>
        <v>0</v>
      </c>
      <c r="Q59" s="6" t="n">
        <f aca="false">IF(I59&lt;&gt;"Include","",IF(F59="Not sure","",IF(F59="Same",0.5,IF(OR(AND(F59="A",L59=N59),AND(F59="B",M59=N59)),1,0))))</f>
        <v>0</v>
      </c>
      <c r="R59" s="6" t="n">
        <f aca="false">IF(I59&lt;&gt;"Include","",IF(G59="Not sure","",IF(G59="Same",0.5,IF(OR(AND(G59="A",L59=N59),AND(G59="B",M59=N59)),1,0))))</f>
        <v>0</v>
      </c>
    </row>
    <row r="60" customFormat="false" ht="29" hidden="false" customHeight="true" outlineLevel="0" collapsed="false">
      <c r="A60" s="4" t="s">
        <v>46</v>
      </c>
      <c r="B60" s="4" t="n">
        <v>6</v>
      </c>
      <c r="C60" s="4" t="n">
        <v>7</v>
      </c>
      <c r="D60" s="4" t="s">
        <v>67</v>
      </c>
      <c r="E60" s="5" t="s">
        <v>68</v>
      </c>
      <c r="F60" s="5" t="s">
        <v>68</v>
      </c>
      <c r="G60" s="5" t="s">
        <v>68</v>
      </c>
      <c r="H60" s="6" t="n">
        <f aca="false">SUM(COUNTIF(E60:G60,"A"),COUNTIF(E60:G60,"B"),COUNTIF(E60:G60,"Same"),COUNTIF(E60:G60,"Not sure"))</f>
        <v>3</v>
      </c>
      <c r="I60" s="6" t="str">
        <f aca="false">Participants!H15</f>
        <v>Include</v>
      </c>
      <c r="J60" s="4" t="s">
        <v>70</v>
      </c>
      <c r="K60" s="4" t="s">
        <v>109</v>
      </c>
      <c r="L60" s="4" t="s">
        <v>72</v>
      </c>
      <c r="M60" s="4" t="s">
        <v>88</v>
      </c>
      <c r="N60" s="4" t="s">
        <v>72</v>
      </c>
      <c r="O60" s="4" t="s">
        <v>88</v>
      </c>
      <c r="P60" s="6" t="n">
        <f aca="false">IF(I60&lt;&gt;"Include","",IF(E60="Not sure","",IF(E60="Same",0.5,IF(OR(AND(E60="A",L60=N60),AND(E60="B",M60=N60)),1,0))))</f>
        <v>1</v>
      </c>
      <c r="Q60" s="6" t="n">
        <f aca="false">IF(I60&lt;&gt;"Include","",IF(F60="Not sure","",IF(F60="Same",0.5,IF(OR(AND(F60="A",L60=N60),AND(F60="B",M60=N60)),1,0))))</f>
        <v>1</v>
      </c>
      <c r="R60" s="6" t="n">
        <f aca="false">IF(I60&lt;&gt;"Include","",IF(G60="Not sure","",IF(G60="Same",0.5,IF(OR(AND(G60="A",L60=N60),AND(G60="B",M60=N60)),1,0))))</f>
        <v>1</v>
      </c>
    </row>
    <row r="61" customFormat="false" ht="29" hidden="false" customHeight="true" outlineLevel="0" collapsed="false">
      <c r="A61" s="4" t="s">
        <v>47</v>
      </c>
      <c r="B61" s="4" t="n">
        <v>1</v>
      </c>
      <c r="C61" s="4" t="n">
        <v>2</v>
      </c>
      <c r="D61" s="4" t="s">
        <v>67</v>
      </c>
      <c r="E61" s="5" t="s">
        <v>74</v>
      </c>
      <c r="F61" s="5" t="s">
        <v>68</v>
      </c>
      <c r="G61" s="5" t="s">
        <v>74</v>
      </c>
      <c r="H61" s="6" t="n">
        <f aca="false">SUM(COUNTIF(E61:G61,"A"),COUNTIF(E61:G61,"B"),COUNTIF(E61:G61,"Same"),COUNTIF(E61:G61,"Not sure"))</f>
        <v>3</v>
      </c>
      <c r="I61" s="6" t="str">
        <f aca="false">Participants!H16</f>
        <v>Include</v>
      </c>
      <c r="J61" s="4" t="s">
        <v>70</v>
      </c>
      <c r="K61" s="4" t="s">
        <v>112</v>
      </c>
      <c r="L61" s="4" t="s">
        <v>88</v>
      </c>
      <c r="M61" s="4" t="s">
        <v>73</v>
      </c>
      <c r="N61" s="4" t="s">
        <v>73</v>
      </c>
      <c r="O61" s="4" t="s">
        <v>88</v>
      </c>
      <c r="P61" s="6" t="n">
        <f aca="false">IF(I61&lt;&gt;"Include","",IF(E61="Not sure","",IF(E61="Same",0.5,IF(OR(AND(E61="A",L61=N61),AND(E61="B",M61=N61)),1,0))))</f>
        <v>1</v>
      </c>
      <c r="Q61" s="6" t="n">
        <f aca="false">IF(I61&lt;&gt;"Include","",IF(F61="Not sure","",IF(F61="Same",0.5,IF(OR(AND(F61="A",L61=N61),AND(F61="B",M61=N61)),1,0))))</f>
        <v>0</v>
      </c>
      <c r="R61" s="6" t="n">
        <f aca="false">IF(I61&lt;&gt;"Include","",IF(G61="Not sure","",IF(G61="Same",0.5,IF(OR(AND(G61="A",L61=N61),AND(G61="B",M61=N61)),1,0))))</f>
        <v>1</v>
      </c>
    </row>
    <row r="62" customFormat="false" ht="29" hidden="false" customHeight="true" outlineLevel="0" collapsed="false">
      <c r="A62" s="4" t="s">
        <v>47</v>
      </c>
      <c r="B62" s="4" t="n">
        <v>2</v>
      </c>
      <c r="C62" s="4" t="n">
        <v>3</v>
      </c>
      <c r="D62" s="4" t="s">
        <v>67</v>
      </c>
      <c r="E62" s="5" t="s">
        <v>74</v>
      </c>
      <c r="F62" s="5" t="s">
        <v>74</v>
      </c>
      <c r="G62" s="5" t="s">
        <v>74</v>
      </c>
      <c r="H62" s="6" t="n">
        <f aca="false">SUM(COUNTIF(E62:G62,"A"),COUNTIF(E62:G62,"B"),COUNTIF(E62:G62,"Same"),COUNTIF(E62:G62,"Not sure"))</f>
        <v>3</v>
      </c>
      <c r="I62" s="6" t="str">
        <f aca="false">Participants!H16</f>
        <v>Include</v>
      </c>
      <c r="J62" s="4" t="s">
        <v>70</v>
      </c>
      <c r="K62" s="4" t="s">
        <v>105</v>
      </c>
      <c r="L62" s="4" t="s">
        <v>88</v>
      </c>
      <c r="M62" s="4" t="s">
        <v>77</v>
      </c>
      <c r="N62" s="4" t="s">
        <v>88</v>
      </c>
      <c r="O62" s="4" t="s">
        <v>77</v>
      </c>
      <c r="P62" s="6" t="n">
        <f aca="false">IF(I62&lt;&gt;"Include","",IF(E62="Not sure","",IF(E62="Same",0.5,IF(OR(AND(E62="A",L62=N62),AND(E62="B",M62=N62)),1,0))))</f>
        <v>0</v>
      </c>
      <c r="Q62" s="6" t="n">
        <f aca="false">IF(I62&lt;&gt;"Include","",IF(F62="Not sure","",IF(F62="Same",0.5,IF(OR(AND(F62="A",L62=N62),AND(F62="B",M62=N62)),1,0))))</f>
        <v>0</v>
      </c>
      <c r="R62" s="6" t="n">
        <f aca="false">IF(I62&lt;&gt;"Include","",IF(G62="Not sure","",IF(G62="Same",0.5,IF(OR(AND(G62="A",L62=N62),AND(G62="B",M62=N62)),1,0))))</f>
        <v>0</v>
      </c>
    </row>
    <row r="63" customFormat="false" ht="29" hidden="false" customHeight="true" outlineLevel="0" collapsed="false">
      <c r="A63" s="4" t="s">
        <v>47</v>
      </c>
      <c r="B63" s="4" t="n">
        <v>3</v>
      </c>
      <c r="C63" s="4" t="n">
        <v>4</v>
      </c>
      <c r="D63" s="4" t="s">
        <v>78</v>
      </c>
      <c r="E63" s="5" t="s">
        <v>68</v>
      </c>
      <c r="F63" s="5" t="s">
        <v>68</v>
      </c>
      <c r="G63" s="5" t="s">
        <v>68</v>
      </c>
      <c r="H63" s="6" t="n">
        <f aca="false">SUM(COUNTIF(E63:G63,"A"),COUNTIF(E63:G63,"B"),COUNTIF(E63:G63,"Same"),COUNTIF(E63:G63,"Not sure"))</f>
        <v>3</v>
      </c>
      <c r="I63" s="6" t="str">
        <f aca="false">Participants!H16</f>
        <v>Include</v>
      </c>
      <c r="J63" s="4" t="s">
        <v>79</v>
      </c>
      <c r="K63" s="4" t="s">
        <v>113</v>
      </c>
      <c r="L63" s="4" t="s">
        <v>81</v>
      </c>
      <c r="M63" s="4" t="s">
        <v>82</v>
      </c>
      <c r="N63" s="4" t="s">
        <v>82</v>
      </c>
      <c r="O63" s="4" t="s">
        <v>81</v>
      </c>
      <c r="P63" s="6" t="n">
        <f aca="false">IF(I63&lt;&gt;"Include","",IF(E63="Not sure","",IF(E63="Same",0.5,IF(OR(AND(E63="A",L63=N63),AND(E63="B",M63=N63)),1,0))))</f>
        <v>0</v>
      </c>
      <c r="Q63" s="6" t="n">
        <f aca="false">IF(I63&lt;&gt;"Include","",IF(F63="Not sure","",IF(F63="Same",0.5,IF(OR(AND(F63="A",L63=N63),AND(F63="B",M63=N63)),1,0))))</f>
        <v>0</v>
      </c>
      <c r="R63" s="6" t="n">
        <f aca="false">IF(I63&lt;&gt;"Include","",IF(G63="Not sure","",IF(G63="Same",0.5,IF(OR(AND(G63="A",L63=N63),AND(G63="B",M63=N63)),1,0))))</f>
        <v>0</v>
      </c>
    </row>
    <row r="64" customFormat="false" ht="29" hidden="false" customHeight="true" outlineLevel="0" collapsed="false">
      <c r="A64" s="4" t="s">
        <v>47</v>
      </c>
      <c r="B64" s="4" t="n">
        <v>4</v>
      </c>
      <c r="C64" s="4" t="n">
        <v>5</v>
      </c>
      <c r="D64" s="4" t="s">
        <v>67</v>
      </c>
      <c r="E64" s="5" t="s">
        <v>74</v>
      </c>
      <c r="F64" s="5" t="s">
        <v>68</v>
      </c>
      <c r="G64" s="5" t="s">
        <v>74</v>
      </c>
      <c r="H64" s="6" t="n">
        <f aca="false">SUM(COUNTIF(E64:G64,"A"),COUNTIF(E64:G64,"B"),COUNTIF(E64:G64,"Same"),COUNTIF(E64:G64,"Not sure"))</f>
        <v>3</v>
      </c>
      <c r="I64" s="6" t="str">
        <f aca="false">Participants!H16</f>
        <v>Include</v>
      </c>
      <c r="J64" s="4" t="s">
        <v>70</v>
      </c>
      <c r="K64" s="4" t="s">
        <v>114</v>
      </c>
      <c r="L64" s="4" t="s">
        <v>76</v>
      </c>
      <c r="M64" s="4" t="s">
        <v>92</v>
      </c>
      <c r="N64" s="4" t="s">
        <v>92</v>
      </c>
      <c r="O64" s="4" t="s">
        <v>76</v>
      </c>
      <c r="P64" s="6" t="n">
        <f aca="false">IF(I64&lt;&gt;"Include","",IF(E64="Not sure","",IF(E64="Same",0.5,IF(OR(AND(E64="A",L64=N64),AND(E64="B",M64=N64)),1,0))))</f>
        <v>1</v>
      </c>
      <c r="Q64" s="6" t="n">
        <f aca="false">IF(I64&lt;&gt;"Include","",IF(F64="Not sure","",IF(F64="Same",0.5,IF(OR(AND(F64="A",L64=N64),AND(F64="B",M64=N64)),1,0))))</f>
        <v>0</v>
      </c>
      <c r="R64" s="6" t="n">
        <f aca="false">IF(I64&lt;&gt;"Include","",IF(G64="Not sure","",IF(G64="Same",0.5,IF(OR(AND(G64="A",L64=N64),AND(G64="B",M64=N64)),1,0))))</f>
        <v>1</v>
      </c>
    </row>
    <row r="65" customFormat="false" ht="29" hidden="false" customHeight="true" outlineLevel="0" collapsed="false">
      <c r="A65" s="4" t="s">
        <v>47</v>
      </c>
      <c r="B65" s="4" t="n">
        <v>5</v>
      </c>
      <c r="C65" s="4" t="n">
        <v>6</v>
      </c>
      <c r="D65" s="4" t="s">
        <v>67</v>
      </c>
      <c r="E65" s="5" t="s">
        <v>68</v>
      </c>
      <c r="F65" s="5" t="s">
        <v>68</v>
      </c>
      <c r="G65" s="5" t="s">
        <v>68</v>
      </c>
      <c r="H65" s="6" t="n">
        <f aca="false">SUM(COUNTIF(E65:G65,"A"),COUNTIF(E65:G65,"B"),COUNTIF(E65:G65,"Same"),COUNTIF(E65:G65,"Not sure"))</f>
        <v>3</v>
      </c>
      <c r="I65" s="6" t="str">
        <f aca="false">Participants!H16</f>
        <v>Include</v>
      </c>
      <c r="J65" s="4" t="s">
        <v>70</v>
      </c>
      <c r="K65" s="4" t="s">
        <v>111</v>
      </c>
      <c r="L65" s="4" t="s">
        <v>77</v>
      </c>
      <c r="M65" s="4" t="s">
        <v>92</v>
      </c>
      <c r="N65" s="4" t="s">
        <v>92</v>
      </c>
      <c r="O65" s="4" t="s">
        <v>77</v>
      </c>
      <c r="P65" s="6" t="n">
        <f aca="false">IF(I65&lt;&gt;"Include","",IF(E65="Not sure","",IF(E65="Same",0.5,IF(OR(AND(E65="A",L65=N65),AND(E65="B",M65=N65)),1,0))))</f>
        <v>0</v>
      </c>
      <c r="Q65" s="6" t="n">
        <f aca="false">IF(I65&lt;&gt;"Include","",IF(F65="Not sure","",IF(F65="Same",0.5,IF(OR(AND(F65="A",L65=N65),AND(F65="B",M65=N65)),1,0))))</f>
        <v>0</v>
      </c>
      <c r="R65" s="6" t="n">
        <f aca="false">IF(I65&lt;&gt;"Include","",IF(G65="Not sure","",IF(G65="Same",0.5,IF(OR(AND(G65="A",L65=N65),AND(G65="B",M65=N65)),1,0))))</f>
        <v>0</v>
      </c>
    </row>
    <row r="66" customFormat="false" ht="29" hidden="false" customHeight="true" outlineLevel="0" collapsed="false">
      <c r="A66" s="4" t="s">
        <v>47</v>
      </c>
      <c r="B66" s="4" t="n">
        <v>6</v>
      </c>
      <c r="C66" s="4" t="n">
        <v>7</v>
      </c>
      <c r="D66" s="4" t="s">
        <v>78</v>
      </c>
      <c r="E66" s="5" t="s">
        <v>74</v>
      </c>
      <c r="F66" s="5" t="s">
        <v>74</v>
      </c>
      <c r="G66" s="5" t="s">
        <v>74</v>
      </c>
      <c r="H66" s="6" t="n">
        <f aca="false">SUM(COUNTIF(E66:G66,"A"),COUNTIF(E66:G66,"B"),COUNTIF(E66:G66,"Same"),COUNTIF(E66:G66,"Not sure"))</f>
        <v>3</v>
      </c>
      <c r="I66" s="6" t="str">
        <f aca="false">Participants!H16</f>
        <v>Include</v>
      </c>
      <c r="J66" s="4" t="s">
        <v>79</v>
      </c>
      <c r="K66" s="4" t="s">
        <v>110</v>
      </c>
      <c r="L66" s="4" t="s">
        <v>82</v>
      </c>
      <c r="M66" s="4" t="s">
        <v>81</v>
      </c>
      <c r="N66" s="4" t="s">
        <v>82</v>
      </c>
      <c r="O66" s="4" t="s">
        <v>81</v>
      </c>
      <c r="P66" s="6" t="n">
        <f aca="false">IF(I66&lt;&gt;"Include","",IF(E66="Not sure","",IF(E66="Same",0.5,IF(OR(AND(E66="A",L66=N66),AND(E66="B",M66=N66)),1,0))))</f>
        <v>0</v>
      </c>
      <c r="Q66" s="6" t="n">
        <f aca="false">IF(I66&lt;&gt;"Include","",IF(F66="Not sure","",IF(F66="Same",0.5,IF(OR(AND(F66="A",L66=N66),AND(F66="B",M66=N66)),1,0))))</f>
        <v>0</v>
      </c>
      <c r="R66" s="6" t="n">
        <f aca="false">IF(I66&lt;&gt;"Include","",IF(G66="Not sure","",IF(G66="Same",0.5,IF(OR(AND(G66="A",L66=N66),AND(G66="B",M66=N66)),1,0))))</f>
        <v>0</v>
      </c>
    </row>
    <row r="67" customFormat="false" ht="29" hidden="false" customHeight="true" outlineLevel="0" collapsed="false">
      <c r="A67" s="4" t="s">
        <v>48</v>
      </c>
      <c r="B67" s="4" t="n">
        <v>1</v>
      </c>
      <c r="C67" s="4" t="n">
        <v>2</v>
      </c>
      <c r="D67" s="4" t="s">
        <v>67</v>
      </c>
      <c r="E67" s="5" t="s">
        <v>68</v>
      </c>
      <c r="F67" s="5" t="s">
        <v>74</v>
      </c>
      <c r="G67" s="5" t="s">
        <v>74</v>
      </c>
      <c r="H67" s="6" t="n">
        <f aca="false">SUM(COUNTIF(E67:G67,"A"),COUNTIF(E67:G67,"B"),COUNTIF(E67:G67,"Same"),COUNTIF(E67:G67,"Not sure"))</f>
        <v>3</v>
      </c>
      <c r="I67" s="6" t="str">
        <f aca="false">Participants!H17</f>
        <v>Include</v>
      </c>
      <c r="J67" s="4" t="s">
        <v>70</v>
      </c>
      <c r="K67" s="4" t="s">
        <v>112</v>
      </c>
      <c r="L67" s="4" t="s">
        <v>73</v>
      </c>
      <c r="M67" s="4" t="s">
        <v>88</v>
      </c>
      <c r="N67" s="4" t="s">
        <v>73</v>
      </c>
      <c r="O67" s="4" t="s">
        <v>88</v>
      </c>
      <c r="P67" s="6" t="n">
        <f aca="false">IF(I67&lt;&gt;"Include","",IF(E67="Not sure","",IF(E67="Same",0.5,IF(OR(AND(E67="A",L67=N67),AND(E67="B",M67=N67)),1,0))))</f>
        <v>1</v>
      </c>
      <c r="Q67" s="6" t="n">
        <f aca="false">IF(I67&lt;&gt;"Include","",IF(F67="Not sure","",IF(F67="Same",0.5,IF(OR(AND(F67="A",L67=N67),AND(F67="B",M67=N67)),1,0))))</f>
        <v>0</v>
      </c>
      <c r="R67" s="6" t="n">
        <f aca="false">IF(I67&lt;&gt;"Include","",IF(G67="Not sure","",IF(G67="Same",0.5,IF(OR(AND(G67="A",L67=N67),AND(G67="B",M67=N67)),1,0))))</f>
        <v>0</v>
      </c>
    </row>
    <row r="68" customFormat="false" ht="29" hidden="false" customHeight="true" outlineLevel="0" collapsed="false">
      <c r="A68" s="4" t="s">
        <v>48</v>
      </c>
      <c r="B68" s="4" t="n">
        <v>2</v>
      </c>
      <c r="C68" s="4" t="n">
        <v>3</v>
      </c>
      <c r="D68" s="4" t="s">
        <v>78</v>
      </c>
      <c r="E68" s="5" t="s">
        <v>74</v>
      </c>
      <c r="F68" s="5" t="s">
        <v>74</v>
      </c>
      <c r="G68" s="5" t="s">
        <v>74</v>
      </c>
      <c r="H68" s="6" t="n">
        <f aca="false">SUM(COUNTIF(E68:G68,"A"),COUNTIF(E68:G68,"B"),COUNTIF(E68:G68,"Same"),COUNTIF(E68:G68,"Not sure"))</f>
        <v>3</v>
      </c>
      <c r="I68" s="6" t="str">
        <f aca="false">Participants!H17</f>
        <v>Include</v>
      </c>
      <c r="J68" s="4" t="s">
        <v>79</v>
      </c>
      <c r="K68" s="4" t="s">
        <v>113</v>
      </c>
      <c r="L68" s="4" t="s">
        <v>82</v>
      </c>
      <c r="M68" s="4" t="s">
        <v>81</v>
      </c>
      <c r="N68" s="4" t="s">
        <v>82</v>
      </c>
      <c r="O68" s="4" t="s">
        <v>81</v>
      </c>
      <c r="P68" s="6" t="n">
        <f aca="false">IF(I68&lt;&gt;"Include","",IF(E68="Not sure","",IF(E68="Same",0.5,IF(OR(AND(E68="A",L68=N68),AND(E68="B",M68=N68)),1,0))))</f>
        <v>0</v>
      </c>
      <c r="Q68" s="6" t="n">
        <f aca="false">IF(I68&lt;&gt;"Include","",IF(F68="Not sure","",IF(F68="Same",0.5,IF(OR(AND(F68="A",L68=N68),AND(F68="B",M68=N68)),1,0))))</f>
        <v>0</v>
      </c>
      <c r="R68" s="6" t="n">
        <f aca="false">IF(I68&lt;&gt;"Include","",IF(G68="Not sure","",IF(G68="Same",0.5,IF(OR(AND(G68="A",L68=N68),AND(G68="B",M68=N68)),1,0))))</f>
        <v>0</v>
      </c>
    </row>
    <row r="69" customFormat="false" ht="29" hidden="false" customHeight="true" outlineLevel="0" collapsed="false">
      <c r="A69" s="4" t="s">
        <v>48</v>
      </c>
      <c r="B69" s="4" t="n">
        <v>3</v>
      </c>
      <c r="C69" s="4" t="n">
        <v>4</v>
      </c>
      <c r="D69" s="4" t="s">
        <v>67</v>
      </c>
      <c r="E69" s="5" t="s">
        <v>74</v>
      </c>
      <c r="F69" s="5" t="s">
        <v>74</v>
      </c>
      <c r="G69" s="5" t="s">
        <v>74</v>
      </c>
      <c r="H69" s="6" t="n">
        <f aca="false">SUM(COUNTIF(E69:G69,"A"),COUNTIF(E69:G69,"B"),COUNTIF(E69:G69,"Same"),COUNTIF(E69:G69,"Not sure"))</f>
        <v>3</v>
      </c>
      <c r="I69" s="6" t="str">
        <f aca="false">Participants!H17</f>
        <v>Include</v>
      </c>
      <c r="J69" s="4" t="s">
        <v>70</v>
      </c>
      <c r="K69" s="4" t="s">
        <v>84</v>
      </c>
      <c r="L69" s="4" t="s">
        <v>85</v>
      </c>
      <c r="M69" s="4" t="s">
        <v>77</v>
      </c>
      <c r="N69" s="4" t="s">
        <v>85</v>
      </c>
      <c r="O69" s="4" t="s">
        <v>77</v>
      </c>
      <c r="P69" s="6" t="n">
        <f aca="false">IF(I69&lt;&gt;"Include","",IF(E69="Not sure","",IF(E69="Same",0.5,IF(OR(AND(E69="A",L69=N69),AND(E69="B",M69=N69)),1,0))))</f>
        <v>0</v>
      </c>
      <c r="Q69" s="6" t="n">
        <f aca="false">IF(I69&lt;&gt;"Include","",IF(F69="Not sure","",IF(F69="Same",0.5,IF(OR(AND(F69="A",L69=N69),AND(F69="B",M69=N69)),1,0))))</f>
        <v>0</v>
      </c>
      <c r="R69" s="6" t="n">
        <f aca="false">IF(I69&lt;&gt;"Include","",IF(G69="Not sure","",IF(G69="Same",0.5,IF(OR(AND(G69="A",L69=N69),AND(G69="B",M69=N69)),1,0))))</f>
        <v>0</v>
      </c>
    </row>
    <row r="70" customFormat="false" ht="29" hidden="false" customHeight="true" outlineLevel="0" collapsed="false">
      <c r="A70" s="4" t="s">
        <v>48</v>
      </c>
      <c r="B70" s="4" t="n">
        <v>4</v>
      </c>
      <c r="C70" s="4" t="n">
        <v>5</v>
      </c>
      <c r="D70" s="4" t="s">
        <v>67</v>
      </c>
      <c r="E70" s="5" t="s">
        <v>68</v>
      </c>
      <c r="F70" s="5" t="s">
        <v>74</v>
      </c>
      <c r="G70" s="5" t="s">
        <v>68</v>
      </c>
      <c r="H70" s="6" t="n">
        <f aca="false">SUM(COUNTIF(E70:G70,"A"),COUNTIF(E70:G70,"B"),COUNTIF(E70:G70,"Same"),COUNTIF(E70:G70,"Not sure"))</f>
        <v>3</v>
      </c>
      <c r="I70" s="6" t="str">
        <f aca="false">Participants!H17</f>
        <v>Include</v>
      </c>
      <c r="J70" s="4" t="s">
        <v>70</v>
      </c>
      <c r="K70" s="4" t="s">
        <v>114</v>
      </c>
      <c r="L70" s="4" t="s">
        <v>92</v>
      </c>
      <c r="M70" s="4" t="s">
        <v>76</v>
      </c>
      <c r="N70" s="4" t="s">
        <v>92</v>
      </c>
      <c r="O70" s="4" t="s">
        <v>76</v>
      </c>
      <c r="P70" s="6" t="n">
        <f aca="false">IF(I70&lt;&gt;"Include","",IF(E70="Not sure","",IF(E70="Same",0.5,IF(OR(AND(E70="A",L70=N70),AND(E70="B",M70=N70)),1,0))))</f>
        <v>1</v>
      </c>
      <c r="Q70" s="6" t="n">
        <f aca="false">IF(I70&lt;&gt;"Include","",IF(F70="Not sure","",IF(F70="Same",0.5,IF(OR(AND(F70="A",L70=N70),AND(F70="B",M70=N70)),1,0))))</f>
        <v>0</v>
      </c>
      <c r="R70" s="6" t="n">
        <f aca="false">IF(I70&lt;&gt;"Include","",IF(G70="Not sure","",IF(G70="Same",0.5,IF(OR(AND(G70="A",L70=N70),AND(G70="B",M70=N70)),1,0))))</f>
        <v>1</v>
      </c>
    </row>
    <row r="71" customFormat="false" ht="29" hidden="false" customHeight="true" outlineLevel="0" collapsed="false">
      <c r="A71" s="4" t="s">
        <v>48</v>
      </c>
      <c r="B71" s="4" t="n">
        <v>5</v>
      </c>
      <c r="C71" s="4" t="n">
        <v>6</v>
      </c>
      <c r="D71" s="4" t="s">
        <v>78</v>
      </c>
      <c r="E71" s="5" t="s">
        <v>68</v>
      </c>
      <c r="F71" s="5" t="s">
        <v>68</v>
      </c>
      <c r="G71" s="5" t="s">
        <v>68</v>
      </c>
      <c r="H71" s="6" t="n">
        <f aca="false">SUM(COUNTIF(E71:G71,"A"),COUNTIF(E71:G71,"B"),COUNTIF(E71:G71,"Same"),COUNTIF(E71:G71,"Not sure"))</f>
        <v>3</v>
      </c>
      <c r="I71" s="6" t="str">
        <f aca="false">Participants!H17</f>
        <v>Include</v>
      </c>
      <c r="J71" s="4" t="s">
        <v>79</v>
      </c>
      <c r="K71" s="4" t="s">
        <v>86</v>
      </c>
      <c r="L71" s="4" t="s">
        <v>81</v>
      </c>
      <c r="M71" s="4" t="s">
        <v>82</v>
      </c>
      <c r="N71" s="4" t="s">
        <v>82</v>
      </c>
      <c r="O71" s="4" t="s">
        <v>81</v>
      </c>
      <c r="P71" s="6" t="n">
        <f aca="false">IF(I71&lt;&gt;"Include","",IF(E71="Not sure","",IF(E71="Same",0.5,IF(OR(AND(E71="A",L71=N71),AND(E71="B",M71=N71)),1,0))))</f>
        <v>0</v>
      </c>
      <c r="Q71" s="6" t="n">
        <f aca="false">IF(I71&lt;&gt;"Include","",IF(F71="Not sure","",IF(F71="Same",0.5,IF(OR(AND(F71="A",L71=N71),AND(F71="B",M71=N71)),1,0))))</f>
        <v>0</v>
      </c>
      <c r="R71" s="6" t="n">
        <f aca="false">IF(I71&lt;&gt;"Include","",IF(G71="Not sure","",IF(G71="Same",0.5,IF(OR(AND(G71="A",L71=N71),AND(G71="B",M71=N71)),1,0))))</f>
        <v>0</v>
      </c>
    </row>
    <row r="72" customFormat="false" ht="29" hidden="false" customHeight="true" outlineLevel="0" collapsed="false">
      <c r="A72" s="4" t="s">
        <v>48</v>
      </c>
      <c r="B72" s="4" t="n">
        <v>6</v>
      </c>
      <c r="C72" s="4" t="n">
        <v>7</v>
      </c>
      <c r="D72" s="4" t="s">
        <v>67</v>
      </c>
      <c r="E72" s="5" t="s">
        <v>74</v>
      </c>
      <c r="F72" s="5" t="s">
        <v>74</v>
      </c>
      <c r="G72" s="5" t="s">
        <v>74</v>
      </c>
      <c r="H72" s="6" t="n">
        <f aca="false">SUM(COUNTIF(E72:G72,"A"),COUNTIF(E72:G72,"B"),COUNTIF(E72:G72,"Same"),COUNTIF(E72:G72,"Not sure"))</f>
        <v>3</v>
      </c>
      <c r="I72" s="6" t="str">
        <f aca="false">Participants!H17</f>
        <v>Include</v>
      </c>
      <c r="J72" s="4" t="s">
        <v>70</v>
      </c>
      <c r="K72" s="4" t="s">
        <v>71</v>
      </c>
      <c r="L72" s="4" t="s">
        <v>73</v>
      </c>
      <c r="M72" s="4" t="s">
        <v>72</v>
      </c>
      <c r="N72" s="4" t="s">
        <v>72</v>
      </c>
      <c r="O72" s="4" t="s">
        <v>73</v>
      </c>
      <c r="P72" s="6" t="n">
        <f aca="false">IF(I72&lt;&gt;"Include","",IF(E72="Not sure","",IF(E72="Same",0.5,IF(OR(AND(E72="A",L72=N72),AND(E72="B",M72=N72)),1,0))))</f>
        <v>1</v>
      </c>
      <c r="Q72" s="6" t="n">
        <f aca="false">IF(I72&lt;&gt;"Include","",IF(F72="Not sure","",IF(F72="Same",0.5,IF(OR(AND(F72="A",L72=N72),AND(F72="B",M72=N72)),1,0))))</f>
        <v>1</v>
      </c>
      <c r="R72" s="6" t="n">
        <f aca="false">IF(I72&lt;&gt;"Include","",IF(G72="Not sure","",IF(G72="Same",0.5,IF(OR(AND(G72="A",L72=N72),AND(G72="B",M72=N72)),1,0))))</f>
        <v>1</v>
      </c>
    </row>
  </sheetData>
  <sheetProtection sheet="true" objects="true" scenarios="true" formatColumns="false" formatRows="false" autoFilter="false"/>
  <autoFilter ref="A6:I72"/>
  <mergeCells count="2">
    <mergeCell ref="A1:I1"/>
    <mergeCell ref="A2:I4"/>
  </mergeCells>
  <dataValidations count="3">
    <dataValidation allowBlank="true" error="Copy the actual answer. Leave empty until it is received." errorTitle="Use a listed choice" operator="between" showDropDown="false" showErrorMessage="true" showInputMessage="true" sqref="E7:E72" type="list">
      <formula1>"A,B,Same,Not sure"</formula1>
      <formula2>0</formula2>
    </dataValidation>
    <dataValidation allowBlank="true" error="Copy the actual answer. Leave empty until it is received." errorTitle="Use a listed choice" operator="between" showDropDown="false" showErrorMessage="true" showInputMessage="true" sqref="F7:F72" type="list">
      <formula1>"A,B,Same,Not sure"</formula1>
      <formula2>0</formula2>
    </dataValidation>
    <dataValidation allowBlank="true" error="Copy the actual answer. Leave empty until it is received." errorTitle="Use a listed choice" operator="between" showDropDown="false" showErrorMessage="true" showInputMessage="true" sqref="G7:G72" type="list">
      <formula1>"A,B,Same,Not sure"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29" zeroHeight="false" outlineLevelRow="0" outlineLevelCol="0"/>
  <cols>
    <col collapsed="false" customWidth="true" hidden="false" outlineLevel="0" max="1" min="1" style="0" width="33.71"/>
    <col collapsed="false" customWidth="true" hidden="false" outlineLevel="0" max="3" min="2" style="0" width="27.72"/>
    <col collapsed="false" customWidth="true" hidden="false" outlineLevel="0" max="4" min="4" style="0" width="24.72"/>
    <col collapsed="false" customWidth="true" hidden="false" outlineLevel="0" max="12" min="5" style="0" width="14.71"/>
  </cols>
  <sheetData>
    <row r="1" customFormat="false" ht="36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" hidden="false" customHeight="true" outlineLevel="0" collapsed="false">
      <c r="A2" s="3" t="s">
        <v>116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9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9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40" hidden="false" customHeight="true" outlineLevel="0" collapsed="false">
      <c r="A6" s="2" t="s">
        <v>117</v>
      </c>
      <c r="B6" s="2" t="s">
        <v>62</v>
      </c>
      <c r="C6" s="2" t="s">
        <v>63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122</v>
      </c>
      <c r="I6" s="2" t="s">
        <v>98</v>
      </c>
      <c r="J6" s="2" t="s">
        <v>123</v>
      </c>
      <c r="K6" s="2" t="s">
        <v>69</v>
      </c>
      <c r="L6" s="2" t="s">
        <v>124</v>
      </c>
    </row>
    <row r="7" customFormat="false" ht="29" hidden="false" customHeight="true" outlineLevel="0" collapsed="false">
      <c r="A7" s="4" t="s">
        <v>125</v>
      </c>
      <c r="B7" s="4" t="s">
        <v>92</v>
      </c>
      <c r="C7" s="4" t="s">
        <v>76</v>
      </c>
      <c r="D7" s="4" t="s">
        <v>126</v>
      </c>
      <c r="E7" s="4" t="n">
        <v>2</v>
      </c>
      <c r="F7" s="6" t="n">
        <f aca="false">IF(Responses!I64="Include",1,0)+IF(Responses!I70="Include",1,0)</f>
        <v>2</v>
      </c>
      <c r="G7" s="6" t="n">
        <f aca="false">IF(ISNUMBER(Responses!P64),1,0)+IF(ISNUMBER(Responses!P70),1,0)</f>
        <v>2</v>
      </c>
      <c r="H7" s="6" t="n">
        <f aca="false">IF(AND(ISNUMBER(Responses!P64),Responses!P64=1),1,0)+IF(AND(ISNUMBER(Responses!P70),Responses!P70=1),1,0)</f>
        <v>2</v>
      </c>
      <c r="I7" s="6" t="n">
        <f aca="false">IF(AND(ISNUMBER(Responses!P64),Responses!P64=0.5),1,0)+IF(AND(ISNUMBER(Responses!P70),Responses!P70=0.5),1,0)</f>
        <v>0</v>
      </c>
      <c r="J7" s="6" t="n">
        <f aca="false">IF(AND(ISNUMBER(Responses!P64),Responses!P64=0),1,0)+IF(AND(ISNUMBER(Responses!P70),Responses!P70=0),1,0)</f>
        <v>0</v>
      </c>
      <c r="K7" s="6" t="n">
        <f aca="false">F7-G7</f>
        <v>0</v>
      </c>
      <c r="L7" s="7" t="n">
        <f aca="false">IF(G7=0,"",(H7+I7*0.5)/G7)</f>
        <v>1</v>
      </c>
    </row>
    <row r="8" customFormat="false" ht="29" hidden="false" customHeight="true" outlineLevel="0" collapsed="false">
      <c r="A8" s="4" t="s">
        <v>125</v>
      </c>
      <c r="B8" s="4" t="s">
        <v>92</v>
      </c>
      <c r="C8" s="4" t="s">
        <v>76</v>
      </c>
      <c r="D8" s="4" t="s">
        <v>127</v>
      </c>
      <c r="E8" s="4" t="n">
        <v>2</v>
      </c>
      <c r="F8" s="6" t="n">
        <f aca="false">IF(Responses!I64="Include",1,0)+IF(Responses!I70="Include",1,0)</f>
        <v>2</v>
      </c>
      <c r="G8" s="6" t="n">
        <f aca="false">IF(ISNUMBER(Responses!Q64),1,0)+IF(ISNUMBER(Responses!Q70),1,0)</f>
        <v>2</v>
      </c>
      <c r="H8" s="6" t="n">
        <f aca="false">IF(AND(ISNUMBER(Responses!Q64),Responses!Q64=1),1,0)+IF(AND(ISNUMBER(Responses!Q70),Responses!Q70=1),1,0)</f>
        <v>0</v>
      </c>
      <c r="I8" s="6" t="n">
        <f aca="false">IF(AND(ISNUMBER(Responses!Q64),Responses!Q64=0.5),1,0)+IF(AND(ISNUMBER(Responses!Q70),Responses!Q70=0.5),1,0)</f>
        <v>0</v>
      </c>
      <c r="J8" s="6" t="n">
        <f aca="false">IF(AND(ISNUMBER(Responses!Q64),Responses!Q64=0),1,0)+IF(AND(ISNUMBER(Responses!Q70),Responses!Q70=0),1,0)</f>
        <v>2</v>
      </c>
      <c r="K8" s="6" t="n">
        <f aca="false">F8-G8</f>
        <v>0</v>
      </c>
      <c r="L8" s="7" t="n">
        <f aca="false">IF(G8=0,"",(H8+I8*0.5)/G8)</f>
        <v>0</v>
      </c>
    </row>
    <row r="9" customFormat="false" ht="29" hidden="false" customHeight="true" outlineLevel="0" collapsed="false">
      <c r="A9" s="4" t="s">
        <v>125</v>
      </c>
      <c r="B9" s="4" t="s">
        <v>92</v>
      </c>
      <c r="C9" s="4" t="s">
        <v>76</v>
      </c>
      <c r="D9" s="4" t="s">
        <v>128</v>
      </c>
      <c r="E9" s="4" t="n">
        <v>2</v>
      </c>
      <c r="F9" s="6" t="n">
        <f aca="false">IF(Responses!I64="Include",1,0)+IF(Responses!I70="Include",1,0)</f>
        <v>2</v>
      </c>
      <c r="G9" s="6" t="n">
        <f aca="false">IF(ISNUMBER(Responses!R64),1,0)+IF(ISNUMBER(Responses!R70),1,0)</f>
        <v>2</v>
      </c>
      <c r="H9" s="6" t="n">
        <f aca="false">IF(AND(ISNUMBER(Responses!R64),Responses!R64=1),1,0)+IF(AND(ISNUMBER(Responses!R70),Responses!R70=1),1,0)</f>
        <v>2</v>
      </c>
      <c r="I9" s="6" t="n">
        <f aca="false">IF(AND(ISNUMBER(Responses!R64),Responses!R64=0.5),1,0)+IF(AND(ISNUMBER(Responses!R70),Responses!R70=0.5),1,0)</f>
        <v>0</v>
      </c>
      <c r="J9" s="6" t="n">
        <f aca="false">IF(AND(ISNUMBER(Responses!R64),Responses!R64=0),1,0)+IF(AND(ISNUMBER(Responses!R70),Responses!R70=0),1,0)</f>
        <v>0</v>
      </c>
      <c r="K9" s="6" t="n">
        <f aca="false">F9-G9</f>
        <v>0</v>
      </c>
      <c r="L9" s="7" t="n">
        <f aca="false">IF(G9=0,"",(H9+I9*0.5)/G9)</f>
        <v>1</v>
      </c>
    </row>
    <row r="10" customFormat="false" ht="29" hidden="false" customHeight="true" outlineLevel="0" collapsed="false">
      <c r="A10" s="4" t="s">
        <v>125</v>
      </c>
      <c r="B10" s="4" t="s">
        <v>85</v>
      </c>
      <c r="C10" s="4" t="s">
        <v>92</v>
      </c>
      <c r="D10" s="4" t="s">
        <v>126</v>
      </c>
      <c r="E10" s="4" t="n">
        <v>2</v>
      </c>
      <c r="F10" s="6" t="n">
        <f aca="false">IF(Responses!I46="Include",1,0)+IF(Responses!I52="Include",1,0)</f>
        <v>2</v>
      </c>
      <c r="G10" s="6" t="n">
        <f aca="false">IF(ISNUMBER(Responses!P46),1,0)+IF(ISNUMBER(Responses!P52),1,0)</f>
        <v>2</v>
      </c>
      <c r="H10" s="6" t="n">
        <f aca="false">IF(AND(ISNUMBER(Responses!P46),Responses!P46=1),1,0)+IF(AND(ISNUMBER(Responses!P52),Responses!P52=1),1,0)</f>
        <v>0</v>
      </c>
      <c r="I10" s="6" t="n">
        <f aca="false">IF(AND(ISNUMBER(Responses!P46),Responses!P46=0.5),1,0)+IF(AND(ISNUMBER(Responses!P52),Responses!P52=0.5),1,0)</f>
        <v>0</v>
      </c>
      <c r="J10" s="6" t="n">
        <f aca="false">IF(AND(ISNUMBER(Responses!P46),Responses!P46=0),1,0)+IF(AND(ISNUMBER(Responses!P52),Responses!P52=0),1,0)</f>
        <v>2</v>
      </c>
      <c r="K10" s="6" t="n">
        <f aca="false">F10-G10</f>
        <v>0</v>
      </c>
      <c r="L10" s="7" t="n">
        <f aca="false">IF(G10=0,"",(H10+I10*0.5)/G10)</f>
        <v>0</v>
      </c>
    </row>
    <row r="11" customFormat="false" ht="29" hidden="false" customHeight="true" outlineLevel="0" collapsed="false">
      <c r="A11" s="4" t="s">
        <v>125</v>
      </c>
      <c r="B11" s="4" t="s">
        <v>85</v>
      </c>
      <c r="C11" s="4" t="s">
        <v>92</v>
      </c>
      <c r="D11" s="4" t="s">
        <v>127</v>
      </c>
      <c r="E11" s="4" t="n">
        <v>2</v>
      </c>
      <c r="F11" s="6" t="n">
        <f aca="false">IF(Responses!I46="Include",1,0)+IF(Responses!I52="Include",1,0)</f>
        <v>2</v>
      </c>
      <c r="G11" s="6" t="n">
        <f aca="false">IF(ISNUMBER(Responses!Q46),1,0)+IF(ISNUMBER(Responses!Q52),1,0)</f>
        <v>2</v>
      </c>
      <c r="H11" s="6" t="n">
        <f aca="false">IF(AND(ISNUMBER(Responses!Q46),Responses!Q46=1),1,0)+IF(AND(ISNUMBER(Responses!Q52),Responses!Q52=1),1,0)</f>
        <v>0</v>
      </c>
      <c r="I11" s="6" t="n">
        <f aca="false">IF(AND(ISNUMBER(Responses!Q46),Responses!Q46=0.5),1,0)+IF(AND(ISNUMBER(Responses!Q52),Responses!Q52=0.5),1,0)</f>
        <v>0</v>
      </c>
      <c r="J11" s="6" t="n">
        <f aca="false">IF(AND(ISNUMBER(Responses!Q46),Responses!Q46=0),1,0)+IF(AND(ISNUMBER(Responses!Q52),Responses!Q52=0),1,0)</f>
        <v>2</v>
      </c>
      <c r="K11" s="6" t="n">
        <f aca="false">F11-G11</f>
        <v>0</v>
      </c>
      <c r="L11" s="7" t="n">
        <f aca="false">IF(G11=0,"",(H11+I11*0.5)/G11)</f>
        <v>0</v>
      </c>
    </row>
    <row r="12" customFormat="false" ht="29" hidden="false" customHeight="true" outlineLevel="0" collapsed="false">
      <c r="A12" s="4" t="s">
        <v>125</v>
      </c>
      <c r="B12" s="4" t="s">
        <v>85</v>
      </c>
      <c r="C12" s="4" t="s">
        <v>92</v>
      </c>
      <c r="D12" s="4" t="s">
        <v>128</v>
      </c>
      <c r="E12" s="4" t="n">
        <v>2</v>
      </c>
      <c r="F12" s="6" t="n">
        <f aca="false">IF(Responses!I46="Include",1,0)+IF(Responses!I52="Include",1,0)</f>
        <v>2</v>
      </c>
      <c r="G12" s="6" t="n">
        <f aca="false">IF(ISNUMBER(Responses!R46),1,0)+IF(ISNUMBER(Responses!R52),1,0)</f>
        <v>2</v>
      </c>
      <c r="H12" s="6" t="n">
        <f aca="false">IF(AND(ISNUMBER(Responses!R46),Responses!R46=1),1,0)+IF(AND(ISNUMBER(Responses!R52),Responses!R52=1),1,0)</f>
        <v>1</v>
      </c>
      <c r="I12" s="6" t="n">
        <f aca="false">IF(AND(ISNUMBER(Responses!R46),Responses!R46=0.5),1,0)+IF(AND(ISNUMBER(Responses!R52),Responses!R52=0.5),1,0)</f>
        <v>0</v>
      </c>
      <c r="J12" s="6" t="n">
        <f aca="false">IF(AND(ISNUMBER(Responses!R46),Responses!R46=0),1,0)+IF(AND(ISNUMBER(Responses!R52),Responses!R52=0),1,0)</f>
        <v>1</v>
      </c>
      <c r="K12" s="6" t="n">
        <f aca="false">F12-G12</f>
        <v>0</v>
      </c>
      <c r="L12" s="7" t="n">
        <f aca="false">IF(G12=0,"",(H12+I12*0.5)/G12)</f>
        <v>0.5</v>
      </c>
    </row>
    <row r="13" customFormat="false" ht="29" hidden="false" customHeight="true" outlineLevel="0" collapsed="false">
      <c r="A13" s="4" t="s">
        <v>125</v>
      </c>
      <c r="B13" s="4" t="s">
        <v>92</v>
      </c>
      <c r="C13" s="4" t="s">
        <v>77</v>
      </c>
      <c r="D13" s="4" t="s">
        <v>126</v>
      </c>
      <c r="E13" s="4" t="n">
        <v>2</v>
      </c>
      <c r="F13" s="6" t="n">
        <f aca="false">IF(Responses!I57="Include",1,0)+IF(Responses!I65="Include",1,0)</f>
        <v>2</v>
      </c>
      <c r="G13" s="6" t="n">
        <f aca="false">IF(ISNUMBER(Responses!P57),1,0)+IF(ISNUMBER(Responses!P65),1,0)</f>
        <v>2</v>
      </c>
      <c r="H13" s="6" t="n">
        <f aca="false">IF(AND(ISNUMBER(Responses!P57),Responses!P57=1),1,0)+IF(AND(ISNUMBER(Responses!P65),Responses!P65=1),1,0)</f>
        <v>0</v>
      </c>
      <c r="I13" s="6" t="n">
        <f aca="false">IF(AND(ISNUMBER(Responses!P57),Responses!P57=0.5),1,0)+IF(AND(ISNUMBER(Responses!P65),Responses!P65=0.5),1,0)</f>
        <v>0</v>
      </c>
      <c r="J13" s="6" t="n">
        <f aca="false">IF(AND(ISNUMBER(Responses!P57),Responses!P57=0),1,0)+IF(AND(ISNUMBER(Responses!P65),Responses!P65=0),1,0)</f>
        <v>2</v>
      </c>
      <c r="K13" s="6" t="n">
        <f aca="false">F13-G13</f>
        <v>0</v>
      </c>
      <c r="L13" s="7" t="n">
        <f aca="false">IF(G13=0,"",(H13+I13*0.5)/G13)</f>
        <v>0</v>
      </c>
    </row>
    <row r="14" customFormat="false" ht="29" hidden="false" customHeight="true" outlineLevel="0" collapsed="false">
      <c r="A14" s="4" t="s">
        <v>125</v>
      </c>
      <c r="B14" s="4" t="s">
        <v>92</v>
      </c>
      <c r="C14" s="4" t="s">
        <v>77</v>
      </c>
      <c r="D14" s="4" t="s">
        <v>127</v>
      </c>
      <c r="E14" s="4" t="n">
        <v>2</v>
      </c>
      <c r="F14" s="6" t="n">
        <f aca="false">IF(Responses!I57="Include",1,0)+IF(Responses!I65="Include",1,0)</f>
        <v>2</v>
      </c>
      <c r="G14" s="6" t="n">
        <f aca="false">IF(ISNUMBER(Responses!Q57),1,0)+IF(ISNUMBER(Responses!Q65),1,0)</f>
        <v>2</v>
      </c>
      <c r="H14" s="6" t="n">
        <f aca="false">IF(AND(ISNUMBER(Responses!Q57),Responses!Q57=1),1,0)+IF(AND(ISNUMBER(Responses!Q65),Responses!Q65=1),1,0)</f>
        <v>0</v>
      </c>
      <c r="I14" s="6" t="n">
        <f aca="false">IF(AND(ISNUMBER(Responses!Q57),Responses!Q57=0.5),1,0)+IF(AND(ISNUMBER(Responses!Q65),Responses!Q65=0.5),1,0)</f>
        <v>0</v>
      </c>
      <c r="J14" s="6" t="n">
        <f aca="false">IF(AND(ISNUMBER(Responses!Q57),Responses!Q57=0),1,0)+IF(AND(ISNUMBER(Responses!Q65),Responses!Q65=0),1,0)</f>
        <v>2</v>
      </c>
      <c r="K14" s="6" t="n">
        <f aca="false">F14-G14</f>
        <v>0</v>
      </c>
      <c r="L14" s="7" t="n">
        <f aca="false">IF(G14=0,"",(H14+I14*0.5)/G14)</f>
        <v>0</v>
      </c>
    </row>
    <row r="15" customFormat="false" ht="29" hidden="false" customHeight="true" outlineLevel="0" collapsed="false">
      <c r="A15" s="4" t="s">
        <v>125</v>
      </c>
      <c r="B15" s="4" t="s">
        <v>92</v>
      </c>
      <c r="C15" s="4" t="s">
        <v>77</v>
      </c>
      <c r="D15" s="4" t="s">
        <v>128</v>
      </c>
      <c r="E15" s="4" t="n">
        <v>2</v>
      </c>
      <c r="F15" s="6" t="n">
        <f aca="false">IF(Responses!I57="Include",1,0)+IF(Responses!I65="Include",1,0)</f>
        <v>2</v>
      </c>
      <c r="G15" s="6" t="n">
        <f aca="false">IF(ISNUMBER(Responses!R57),1,0)+IF(ISNUMBER(Responses!R65),1,0)</f>
        <v>2</v>
      </c>
      <c r="H15" s="6" t="n">
        <f aca="false">IF(AND(ISNUMBER(Responses!R57),Responses!R57=1),1,0)+IF(AND(ISNUMBER(Responses!R65),Responses!R65=1),1,0)</f>
        <v>0</v>
      </c>
      <c r="I15" s="6" t="n">
        <f aca="false">IF(AND(ISNUMBER(Responses!R57),Responses!R57=0.5),1,0)+IF(AND(ISNUMBER(Responses!R65),Responses!R65=0.5),1,0)</f>
        <v>0</v>
      </c>
      <c r="J15" s="6" t="n">
        <f aca="false">IF(AND(ISNUMBER(Responses!R57),Responses!R57=0),1,0)+IF(AND(ISNUMBER(Responses!R65),Responses!R65=0),1,0)</f>
        <v>2</v>
      </c>
      <c r="K15" s="6" t="n">
        <f aca="false">F15-G15</f>
        <v>0</v>
      </c>
      <c r="L15" s="7" t="n">
        <f aca="false">IF(G15=0,"",(H15+I15*0.5)/G15)</f>
        <v>0</v>
      </c>
    </row>
    <row r="16" customFormat="false" ht="29" hidden="false" customHeight="true" outlineLevel="0" collapsed="false">
      <c r="A16" s="4" t="s">
        <v>125</v>
      </c>
      <c r="B16" s="4" t="s">
        <v>72</v>
      </c>
      <c r="C16" s="4" t="s">
        <v>85</v>
      </c>
      <c r="D16" s="4" t="s">
        <v>126</v>
      </c>
      <c r="E16" s="4" t="n">
        <v>2</v>
      </c>
      <c r="F16" s="6" t="n">
        <f aca="false">IF(Responses!I21="Include",1,0)+IF(Responses!I28="Include",1,0)</f>
        <v>1</v>
      </c>
      <c r="G16" s="6" t="n">
        <f aca="false">IF(ISNUMBER(Responses!P21),1,0)+IF(ISNUMBER(Responses!P28),1,0)</f>
        <v>1</v>
      </c>
      <c r="H16" s="6" t="n">
        <f aca="false">IF(AND(ISNUMBER(Responses!P21),Responses!P21=1),1,0)+IF(AND(ISNUMBER(Responses!P28),Responses!P28=1),1,0)</f>
        <v>1</v>
      </c>
      <c r="I16" s="6" t="n">
        <f aca="false">IF(AND(ISNUMBER(Responses!P21),Responses!P21=0.5),1,0)+IF(AND(ISNUMBER(Responses!P28),Responses!P28=0.5),1,0)</f>
        <v>0</v>
      </c>
      <c r="J16" s="6" t="n">
        <f aca="false">IF(AND(ISNUMBER(Responses!P21),Responses!P21=0),1,0)+IF(AND(ISNUMBER(Responses!P28),Responses!P28=0),1,0)</f>
        <v>0</v>
      </c>
      <c r="K16" s="6" t="n">
        <f aca="false">F16-G16</f>
        <v>0</v>
      </c>
      <c r="L16" s="7" t="n">
        <f aca="false">IF(G16=0,"",(H16+I16*0.5)/G16)</f>
        <v>1</v>
      </c>
    </row>
    <row r="17" customFormat="false" ht="29" hidden="false" customHeight="true" outlineLevel="0" collapsed="false">
      <c r="A17" s="4" t="s">
        <v>125</v>
      </c>
      <c r="B17" s="4" t="s">
        <v>72</v>
      </c>
      <c r="C17" s="4" t="s">
        <v>85</v>
      </c>
      <c r="D17" s="4" t="s">
        <v>127</v>
      </c>
      <c r="E17" s="4" t="n">
        <v>2</v>
      </c>
      <c r="F17" s="6" t="n">
        <f aca="false">IF(Responses!I21="Include",1,0)+IF(Responses!I28="Include",1,0)</f>
        <v>1</v>
      </c>
      <c r="G17" s="6" t="n">
        <f aca="false">IF(ISNUMBER(Responses!Q21),1,0)+IF(ISNUMBER(Responses!Q28),1,0)</f>
        <v>1</v>
      </c>
      <c r="H17" s="6" t="n">
        <f aca="false">IF(AND(ISNUMBER(Responses!Q21),Responses!Q21=1),1,0)+IF(AND(ISNUMBER(Responses!Q28),Responses!Q28=1),1,0)</f>
        <v>0</v>
      </c>
      <c r="I17" s="6" t="n">
        <f aca="false">IF(AND(ISNUMBER(Responses!Q21),Responses!Q21=0.5),1,0)+IF(AND(ISNUMBER(Responses!Q28),Responses!Q28=0.5),1,0)</f>
        <v>0</v>
      </c>
      <c r="J17" s="6" t="n">
        <f aca="false">IF(AND(ISNUMBER(Responses!Q21),Responses!Q21=0),1,0)+IF(AND(ISNUMBER(Responses!Q28),Responses!Q28=0),1,0)</f>
        <v>1</v>
      </c>
      <c r="K17" s="6" t="n">
        <f aca="false">F17-G17</f>
        <v>0</v>
      </c>
      <c r="L17" s="7" t="n">
        <f aca="false">IF(G17=0,"",(H17+I17*0.5)/G17)</f>
        <v>0</v>
      </c>
    </row>
    <row r="18" customFormat="false" ht="29" hidden="false" customHeight="true" outlineLevel="0" collapsed="false">
      <c r="A18" s="4" t="s">
        <v>125</v>
      </c>
      <c r="B18" s="4" t="s">
        <v>72</v>
      </c>
      <c r="C18" s="4" t="s">
        <v>85</v>
      </c>
      <c r="D18" s="4" t="s">
        <v>128</v>
      </c>
      <c r="E18" s="4" t="n">
        <v>2</v>
      </c>
      <c r="F18" s="6" t="n">
        <f aca="false">IF(Responses!I21="Include",1,0)+IF(Responses!I28="Include",1,0)</f>
        <v>1</v>
      </c>
      <c r="G18" s="6" t="n">
        <f aca="false">IF(ISNUMBER(Responses!R21),1,0)+IF(ISNUMBER(Responses!R28),1,0)</f>
        <v>1</v>
      </c>
      <c r="H18" s="6" t="n">
        <f aca="false">IF(AND(ISNUMBER(Responses!R21),Responses!R21=1),1,0)+IF(AND(ISNUMBER(Responses!R28),Responses!R28=1),1,0)</f>
        <v>1</v>
      </c>
      <c r="I18" s="6" t="n">
        <f aca="false">IF(AND(ISNUMBER(Responses!R21),Responses!R21=0.5),1,0)+IF(AND(ISNUMBER(Responses!R28),Responses!R28=0.5),1,0)</f>
        <v>0</v>
      </c>
      <c r="J18" s="6" t="n">
        <f aca="false">IF(AND(ISNUMBER(Responses!R21),Responses!R21=0),1,0)+IF(AND(ISNUMBER(Responses!R28),Responses!R28=0),1,0)</f>
        <v>0</v>
      </c>
      <c r="K18" s="6" t="n">
        <f aca="false">F18-G18</f>
        <v>0</v>
      </c>
      <c r="L18" s="7" t="n">
        <f aca="false">IF(G18=0,"",(H18+I18*0.5)/G18)</f>
        <v>1</v>
      </c>
    </row>
    <row r="19" customFormat="false" ht="29" hidden="false" customHeight="true" outlineLevel="0" collapsed="false">
      <c r="A19" s="4" t="s">
        <v>125</v>
      </c>
      <c r="B19" s="4" t="s">
        <v>88</v>
      </c>
      <c r="C19" s="4" t="s">
        <v>76</v>
      </c>
      <c r="D19" s="4" t="s">
        <v>126</v>
      </c>
      <c r="E19" s="4" t="n">
        <v>2</v>
      </c>
      <c r="F19" s="6" t="n">
        <f aca="false">IF(Responses!I13="Include",1,0)+IF(Responses!I20="Include",1,0)</f>
        <v>2</v>
      </c>
      <c r="G19" s="6" t="n">
        <f aca="false">IF(ISNUMBER(Responses!P13),1,0)+IF(ISNUMBER(Responses!P20),1,0)</f>
        <v>2</v>
      </c>
      <c r="H19" s="6" t="n">
        <f aca="false">IF(AND(ISNUMBER(Responses!P13),Responses!P13=1),1,0)+IF(AND(ISNUMBER(Responses!P20),Responses!P20=1),1,0)</f>
        <v>2</v>
      </c>
      <c r="I19" s="6" t="n">
        <f aca="false">IF(AND(ISNUMBER(Responses!P13),Responses!P13=0.5),1,0)+IF(AND(ISNUMBER(Responses!P20),Responses!P20=0.5),1,0)</f>
        <v>0</v>
      </c>
      <c r="J19" s="6" t="n">
        <f aca="false">IF(AND(ISNUMBER(Responses!P13),Responses!P13=0),1,0)+IF(AND(ISNUMBER(Responses!P20),Responses!P20=0),1,0)</f>
        <v>0</v>
      </c>
      <c r="K19" s="6" t="n">
        <f aca="false">F19-G19</f>
        <v>0</v>
      </c>
      <c r="L19" s="7" t="n">
        <f aca="false">IF(G19=0,"",(H19+I19*0.5)/G19)</f>
        <v>1</v>
      </c>
    </row>
    <row r="20" customFormat="false" ht="29" hidden="false" customHeight="true" outlineLevel="0" collapsed="false">
      <c r="A20" s="4" t="s">
        <v>125</v>
      </c>
      <c r="B20" s="4" t="s">
        <v>88</v>
      </c>
      <c r="C20" s="4" t="s">
        <v>76</v>
      </c>
      <c r="D20" s="4" t="s">
        <v>127</v>
      </c>
      <c r="E20" s="4" t="n">
        <v>2</v>
      </c>
      <c r="F20" s="6" t="n">
        <f aca="false">IF(Responses!I13="Include",1,0)+IF(Responses!I20="Include",1,0)</f>
        <v>2</v>
      </c>
      <c r="G20" s="6" t="n">
        <f aca="false">IF(ISNUMBER(Responses!Q13),1,0)+IF(ISNUMBER(Responses!Q20),1,0)</f>
        <v>2</v>
      </c>
      <c r="H20" s="6" t="n">
        <f aca="false">IF(AND(ISNUMBER(Responses!Q13),Responses!Q13=1),1,0)+IF(AND(ISNUMBER(Responses!Q20),Responses!Q20=1),1,0)</f>
        <v>0</v>
      </c>
      <c r="I20" s="6" t="n">
        <f aca="false">IF(AND(ISNUMBER(Responses!Q13),Responses!Q13=0.5),1,0)+IF(AND(ISNUMBER(Responses!Q20),Responses!Q20=0.5),1,0)</f>
        <v>0</v>
      </c>
      <c r="J20" s="6" t="n">
        <f aca="false">IF(AND(ISNUMBER(Responses!Q13),Responses!Q13=0),1,0)+IF(AND(ISNUMBER(Responses!Q20),Responses!Q20=0),1,0)</f>
        <v>2</v>
      </c>
      <c r="K20" s="6" t="n">
        <f aca="false">F20-G20</f>
        <v>0</v>
      </c>
      <c r="L20" s="7" t="n">
        <f aca="false">IF(G20=0,"",(H20+I20*0.5)/G20)</f>
        <v>0</v>
      </c>
    </row>
    <row r="21" customFormat="false" ht="29" hidden="false" customHeight="true" outlineLevel="0" collapsed="false">
      <c r="A21" s="4" t="s">
        <v>125</v>
      </c>
      <c r="B21" s="4" t="s">
        <v>88</v>
      </c>
      <c r="C21" s="4" t="s">
        <v>76</v>
      </c>
      <c r="D21" s="4" t="s">
        <v>128</v>
      </c>
      <c r="E21" s="4" t="n">
        <v>2</v>
      </c>
      <c r="F21" s="6" t="n">
        <f aca="false">IF(Responses!I13="Include",1,0)+IF(Responses!I20="Include",1,0)</f>
        <v>2</v>
      </c>
      <c r="G21" s="6" t="n">
        <f aca="false">IF(ISNUMBER(Responses!R13),1,0)+IF(ISNUMBER(Responses!R20),1,0)</f>
        <v>2</v>
      </c>
      <c r="H21" s="6" t="n">
        <f aca="false">IF(AND(ISNUMBER(Responses!R13),Responses!R13=1),1,0)+IF(AND(ISNUMBER(Responses!R20),Responses!R20=1),1,0)</f>
        <v>2</v>
      </c>
      <c r="I21" s="6" t="n">
        <f aca="false">IF(AND(ISNUMBER(Responses!R13),Responses!R13=0.5),1,0)+IF(AND(ISNUMBER(Responses!R20),Responses!R20=0.5),1,0)</f>
        <v>0</v>
      </c>
      <c r="J21" s="6" t="n">
        <f aca="false">IF(AND(ISNUMBER(Responses!R13),Responses!R13=0),1,0)+IF(AND(ISNUMBER(Responses!R20),Responses!R20=0),1,0)</f>
        <v>0</v>
      </c>
      <c r="K21" s="6" t="n">
        <f aca="false">F21-G21</f>
        <v>0</v>
      </c>
      <c r="L21" s="7" t="n">
        <f aca="false">IF(G21=0,"",(H21+I21*0.5)/G21)</f>
        <v>1</v>
      </c>
    </row>
    <row r="22" customFormat="false" ht="29" hidden="false" customHeight="true" outlineLevel="0" collapsed="false">
      <c r="A22" s="4" t="s">
        <v>125</v>
      </c>
      <c r="B22" s="4" t="s">
        <v>88</v>
      </c>
      <c r="C22" s="4" t="s">
        <v>92</v>
      </c>
      <c r="D22" s="4" t="s">
        <v>126</v>
      </c>
      <c r="E22" s="4" t="n">
        <v>2</v>
      </c>
      <c r="F22" s="6" t="n">
        <f aca="false">IF(Responses!I18="Include",1,0)+IF(Responses!I24="Include",1,0)</f>
        <v>2</v>
      </c>
      <c r="G22" s="6" t="n">
        <f aca="false">IF(ISNUMBER(Responses!P18),1,0)+IF(ISNUMBER(Responses!P24),1,0)</f>
        <v>2</v>
      </c>
      <c r="H22" s="6" t="n">
        <f aca="false">IF(AND(ISNUMBER(Responses!P18),Responses!P18=1),1,0)+IF(AND(ISNUMBER(Responses!P24),Responses!P24=1),1,0)</f>
        <v>1</v>
      </c>
      <c r="I22" s="6" t="n">
        <f aca="false">IF(AND(ISNUMBER(Responses!P18),Responses!P18=0.5),1,0)+IF(AND(ISNUMBER(Responses!P24),Responses!P24=0.5),1,0)</f>
        <v>0</v>
      </c>
      <c r="J22" s="6" t="n">
        <f aca="false">IF(AND(ISNUMBER(Responses!P18),Responses!P18=0),1,0)+IF(AND(ISNUMBER(Responses!P24),Responses!P24=0),1,0)</f>
        <v>1</v>
      </c>
      <c r="K22" s="6" t="n">
        <f aca="false">F22-G22</f>
        <v>0</v>
      </c>
      <c r="L22" s="7" t="n">
        <f aca="false">IF(G22=0,"",(H22+I22*0.5)/G22)</f>
        <v>0.5</v>
      </c>
    </row>
    <row r="23" customFormat="false" ht="29" hidden="false" customHeight="true" outlineLevel="0" collapsed="false">
      <c r="A23" s="4" t="s">
        <v>125</v>
      </c>
      <c r="B23" s="4" t="s">
        <v>88</v>
      </c>
      <c r="C23" s="4" t="s">
        <v>92</v>
      </c>
      <c r="D23" s="4" t="s">
        <v>127</v>
      </c>
      <c r="E23" s="4" t="n">
        <v>2</v>
      </c>
      <c r="F23" s="6" t="n">
        <f aca="false">IF(Responses!I18="Include",1,0)+IF(Responses!I24="Include",1,0)</f>
        <v>2</v>
      </c>
      <c r="G23" s="6" t="n">
        <f aca="false">IF(ISNUMBER(Responses!Q18),1,0)+IF(ISNUMBER(Responses!Q24),1,0)</f>
        <v>2</v>
      </c>
      <c r="H23" s="6" t="n">
        <f aca="false">IF(AND(ISNUMBER(Responses!Q18),Responses!Q18=1),1,0)+IF(AND(ISNUMBER(Responses!Q24),Responses!Q24=1),1,0)</f>
        <v>0</v>
      </c>
      <c r="I23" s="6" t="n">
        <f aca="false">IF(AND(ISNUMBER(Responses!Q18),Responses!Q18=0.5),1,0)+IF(AND(ISNUMBER(Responses!Q24),Responses!Q24=0.5),1,0)</f>
        <v>0</v>
      </c>
      <c r="J23" s="6" t="n">
        <f aca="false">IF(AND(ISNUMBER(Responses!Q18),Responses!Q18=0),1,0)+IF(AND(ISNUMBER(Responses!Q24),Responses!Q24=0),1,0)</f>
        <v>2</v>
      </c>
      <c r="K23" s="6" t="n">
        <f aca="false">F23-G23</f>
        <v>0</v>
      </c>
      <c r="L23" s="7" t="n">
        <f aca="false">IF(G23=0,"",(H23+I23*0.5)/G23)</f>
        <v>0</v>
      </c>
    </row>
    <row r="24" customFormat="false" ht="29" hidden="false" customHeight="true" outlineLevel="0" collapsed="false">
      <c r="A24" s="4" t="s">
        <v>125</v>
      </c>
      <c r="B24" s="4" t="s">
        <v>88</v>
      </c>
      <c r="C24" s="4" t="s">
        <v>92</v>
      </c>
      <c r="D24" s="4" t="s">
        <v>128</v>
      </c>
      <c r="E24" s="4" t="n">
        <v>2</v>
      </c>
      <c r="F24" s="6" t="n">
        <f aca="false">IF(Responses!I18="Include",1,0)+IF(Responses!I24="Include",1,0)</f>
        <v>2</v>
      </c>
      <c r="G24" s="6" t="n">
        <f aca="false">IF(ISNUMBER(Responses!R18),1,0)+IF(ISNUMBER(Responses!R24),1,0)</f>
        <v>2</v>
      </c>
      <c r="H24" s="6" t="n">
        <f aca="false">IF(AND(ISNUMBER(Responses!R18),Responses!R18=1),1,0)+IF(AND(ISNUMBER(Responses!R24),Responses!R24=1),1,0)</f>
        <v>1</v>
      </c>
      <c r="I24" s="6" t="n">
        <f aca="false">IF(AND(ISNUMBER(Responses!R18),Responses!R18=0.5),1,0)+IF(AND(ISNUMBER(Responses!R24),Responses!R24=0.5),1,0)</f>
        <v>0</v>
      </c>
      <c r="J24" s="6" t="n">
        <f aca="false">IF(AND(ISNUMBER(Responses!R18),Responses!R18=0),1,0)+IF(AND(ISNUMBER(Responses!R24),Responses!R24=0),1,0)</f>
        <v>1</v>
      </c>
      <c r="K24" s="6" t="n">
        <f aca="false">F24-G24</f>
        <v>0</v>
      </c>
      <c r="L24" s="7" t="n">
        <f aca="false">IF(G24=0,"",(H24+I24*0.5)/G24)</f>
        <v>0.5</v>
      </c>
    </row>
    <row r="25" customFormat="false" ht="29" hidden="false" customHeight="true" outlineLevel="0" collapsed="false">
      <c r="A25" s="4" t="s">
        <v>125</v>
      </c>
      <c r="B25" s="4" t="s">
        <v>72</v>
      </c>
      <c r="C25" s="4" t="s">
        <v>92</v>
      </c>
      <c r="D25" s="4" t="s">
        <v>126</v>
      </c>
      <c r="E25" s="4" t="n">
        <v>2</v>
      </c>
      <c r="F25" s="6" t="n">
        <f aca="false">IF(Responses!I29="Include",1,0)+IF(Responses!I34="Include",1,0)</f>
        <v>1</v>
      </c>
      <c r="G25" s="6" t="n">
        <f aca="false">IF(ISNUMBER(Responses!P29),1,0)+IF(ISNUMBER(Responses!P34),1,0)</f>
        <v>1</v>
      </c>
      <c r="H25" s="6" t="n">
        <f aca="false">IF(AND(ISNUMBER(Responses!P29),Responses!P29=1),1,0)+IF(AND(ISNUMBER(Responses!P34),Responses!P34=1),1,0)</f>
        <v>1</v>
      </c>
      <c r="I25" s="6" t="n">
        <f aca="false">IF(AND(ISNUMBER(Responses!P29),Responses!P29=0.5),1,0)+IF(AND(ISNUMBER(Responses!P34),Responses!P34=0.5),1,0)</f>
        <v>0</v>
      </c>
      <c r="J25" s="6" t="n">
        <f aca="false">IF(AND(ISNUMBER(Responses!P29),Responses!P29=0),1,0)+IF(AND(ISNUMBER(Responses!P34),Responses!P34=0),1,0)</f>
        <v>0</v>
      </c>
      <c r="K25" s="6" t="n">
        <f aca="false">F25-G25</f>
        <v>0</v>
      </c>
      <c r="L25" s="7" t="n">
        <f aca="false">IF(G25=0,"",(H25+I25*0.5)/G25)</f>
        <v>1</v>
      </c>
    </row>
    <row r="26" customFormat="false" ht="29" hidden="false" customHeight="true" outlineLevel="0" collapsed="false">
      <c r="A26" s="4" t="s">
        <v>125</v>
      </c>
      <c r="B26" s="4" t="s">
        <v>72</v>
      </c>
      <c r="C26" s="4" t="s">
        <v>92</v>
      </c>
      <c r="D26" s="4" t="s">
        <v>127</v>
      </c>
      <c r="E26" s="4" t="n">
        <v>2</v>
      </c>
      <c r="F26" s="6" t="n">
        <f aca="false">IF(Responses!I29="Include",1,0)+IF(Responses!I34="Include",1,0)</f>
        <v>1</v>
      </c>
      <c r="G26" s="6" t="n">
        <f aca="false">IF(ISNUMBER(Responses!Q29),1,0)+IF(ISNUMBER(Responses!Q34),1,0)</f>
        <v>1</v>
      </c>
      <c r="H26" s="6" t="n">
        <f aca="false">IF(AND(ISNUMBER(Responses!Q29),Responses!Q29=1),1,0)+IF(AND(ISNUMBER(Responses!Q34),Responses!Q34=1),1,0)</f>
        <v>1</v>
      </c>
      <c r="I26" s="6" t="n">
        <f aca="false">IF(AND(ISNUMBER(Responses!Q29),Responses!Q29=0.5),1,0)+IF(AND(ISNUMBER(Responses!Q34),Responses!Q34=0.5),1,0)</f>
        <v>0</v>
      </c>
      <c r="J26" s="6" t="n">
        <f aca="false">IF(AND(ISNUMBER(Responses!Q29),Responses!Q29=0),1,0)+IF(AND(ISNUMBER(Responses!Q34),Responses!Q34=0),1,0)</f>
        <v>0</v>
      </c>
      <c r="K26" s="6" t="n">
        <f aca="false">F26-G26</f>
        <v>0</v>
      </c>
      <c r="L26" s="7" t="n">
        <f aca="false">IF(G26=0,"",(H26+I26*0.5)/G26)</f>
        <v>1</v>
      </c>
    </row>
    <row r="27" customFormat="false" ht="29" hidden="false" customHeight="true" outlineLevel="0" collapsed="false">
      <c r="A27" s="4" t="s">
        <v>125</v>
      </c>
      <c r="B27" s="4" t="s">
        <v>72</v>
      </c>
      <c r="C27" s="4" t="s">
        <v>92</v>
      </c>
      <c r="D27" s="4" t="s">
        <v>128</v>
      </c>
      <c r="E27" s="4" t="n">
        <v>2</v>
      </c>
      <c r="F27" s="6" t="n">
        <f aca="false">IF(Responses!I29="Include",1,0)+IF(Responses!I34="Include",1,0)</f>
        <v>1</v>
      </c>
      <c r="G27" s="6" t="n">
        <f aca="false">IF(ISNUMBER(Responses!R29),1,0)+IF(ISNUMBER(Responses!R34),1,0)</f>
        <v>1</v>
      </c>
      <c r="H27" s="6" t="n">
        <f aca="false">IF(AND(ISNUMBER(Responses!R29),Responses!R29=1),1,0)+IF(AND(ISNUMBER(Responses!R34),Responses!R34=1),1,0)</f>
        <v>1</v>
      </c>
      <c r="I27" s="6" t="n">
        <f aca="false">IF(AND(ISNUMBER(Responses!R29),Responses!R29=0.5),1,0)+IF(AND(ISNUMBER(Responses!R34),Responses!R34=0.5),1,0)</f>
        <v>0</v>
      </c>
      <c r="J27" s="6" t="n">
        <f aca="false">IF(AND(ISNUMBER(Responses!R29),Responses!R29=0),1,0)+IF(AND(ISNUMBER(Responses!R34),Responses!R34=0),1,0)</f>
        <v>0</v>
      </c>
      <c r="K27" s="6" t="n">
        <f aca="false">F27-G27</f>
        <v>0</v>
      </c>
      <c r="L27" s="7" t="n">
        <f aca="false">IF(G27=0,"",(H27+I27*0.5)/G27)</f>
        <v>1</v>
      </c>
    </row>
    <row r="28" customFormat="false" ht="29" hidden="false" customHeight="true" outlineLevel="0" collapsed="false">
      <c r="A28" s="4" t="s">
        <v>125</v>
      </c>
      <c r="B28" s="4" t="s">
        <v>85</v>
      </c>
      <c r="C28" s="4" t="s">
        <v>88</v>
      </c>
      <c r="D28" s="4" t="s">
        <v>126</v>
      </c>
      <c r="E28" s="4" t="n">
        <v>2</v>
      </c>
      <c r="F28" s="6" t="n">
        <f aca="false">IF(Responses!I36="Include",1,0)+IF(Responses!I38="Include",1,0)</f>
        <v>2</v>
      </c>
      <c r="G28" s="6" t="n">
        <f aca="false">IF(ISNUMBER(Responses!P36),1,0)+IF(ISNUMBER(Responses!P38),1,0)</f>
        <v>2</v>
      </c>
      <c r="H28" s="6" t="n">
        <f aca="false">IF(AND(ISNUMBER(Responses!P36),Responses!P36=1),1,0)+IF(AND(ISNUMBER(Responses!P38),Responses!P38=1),1,0)</f>
        <v>1</v>
      </c>
      <c r="I28" s="6" t="n">
        <f aca="false">IF(AND(ISNUMBER(Responses!P36),Responses!P36=0.5),1,0)+IF(AND(ISNUMBER(Responses!P38),Responses!P38=0.5),1,0)</f>
        <v>0</v>
      </c>
      <c r="J28" s="6" t="n">
        <f aca="false">IF(AND(ISNUMBER(Responses!P36),Responses!P36=0),1,0)+IF(AND(ISNUMBER(Responses!P38),Responses!P38=0),1,0)</f>
        <v>1</v>
      </c>
      <c r="K28" s="6" t="n">
        <f aca="false">F28-G28</f>
        <v>0</v>
      </c>
      <c r="L28" s="7" t="n">
        <f aca="false">IF(G28=0,"",(H28+I28*0.5)/G28)</f>
        <v>0.5</v>
      </c>
    </row>
    <row r="29" customFormat="false" ht="29" hidden="false" customHeight="true" outlineLevel="0" collapsed="false">
      <c r="A29" s="4" t="s">
        <v>125</v>
      </c>
      <c r="B29" s="4" t="s">
        <v>85</v>
      </c>
      <c r="C29" s="4" t="s">
        <v>88</v>
      </c>
      <c r="D29" s="4" t="s">
        <v>127</v>
      </c>
      <c r="E29" s="4" t="n">
        <v>2</v>
      </c>
      <c r="F29" s="6" t="n">
        <f aca="false">IF(Responses!I36="Include",1,0)+IF(Responses!I38="Include",1,0)</f>
        <v>2</v>
      </c>
      <c r="G29" s="6" t="n">
        <f aca="false">IF(ISNUMBER(Responses!Q36),1,0)+IF(ISNUMBER(Responses!Q38),1,0)</f>
        <v>2</v>
      </c>
      <c r="H29" s="6" t="n">
        <f aca="false">IF(AND(ISNUMBER(Responses!Q36),Responses!Q36=1),1,0)+IF(AND(ISNUMBER(Responses!Q38),Responses!Q38=1),1,0)</f>
        <v>2</v>
      </c>
      <c r="I29" s="6" t="n">
        <f aca="false">IF(AND(ISNUMBER(Responses!Q36),Responses!Q36=0.5),1,0)+IF(AND(ISNUMBER(Responses!Q38),Responses!Q38=0.5),1,0)</f>
        <v>0</v>
      </c>
      <c r="J29" s="6" t="n">
        <f aca="false">IF(AND(ISNUMBER(Responses!Q36),Responses!Q36=0),1,0)+IF(AND(ISNUMBER(Responses!Q38),Responses!Q38=0),1,0)</f>
        <v>0</v>
      </c>
      <c r="K29" s="6" t="n">
        <f aca="false">F29-G29</f>
        <v>0</v>
      </c>
      <c r="L29" s="7" t="n">
        <f aca="false">IF(G29=0,"",(H29+I29*0.5)/G29)</f>
        <v>1</v>
      </c>
    </row>
    <row r="30" customFormat="false" ht="29" hidden="false" customHeight="true" outlineLevel="0" collapsed="false">
      <c r="A30" s="4" t="s">
        <v>125</v>
      </c>
      <c r="B30" s="4" t="s">
        <v>85</v>
      </c>
      <c r="C30" s="4" t="s">
        <v>88</v>
      </c>
      <c r="D30" s="4" t="s">
        <v>128</v>
      </c>
      <c r="E30" s="4" t="n">
        <v>2</v>
      </c>
      <c r="F30" s="6" t="n">
        <f aca="false">IF(Responses!I36="Include",1,0)+IF(Responses!I38="Include",1,0)</f>
        <v>2</v>
      </c>
      <c r="G30" s="6" t="n">
        <f aca="false">IF(ISNUMBER(Responses!R36),1,0)+IF(ISNUMBER(Responses!R38),1,0)</f>
        <v>2</v>
      </c>
      <c r="H30" s="6" t="n">
        <f aca="false">IF(AND(ISNUMBER(Responses!R36),Responses!R36=1),1,0)+IF(AND(ISNUMBER(Responses!R38),Responses!R38=1),1,0)</f>
        <v>1</v>
      </c>
      <c r="I30" s="6" t="n">
        <f aca="false">IF(AND(ISNUMBER(Responses!R36),Responses!R36=0.5),1,0)+IF(AND(ISNUMBER(Responses!R38),Responses!R38=0.5),1,0)</f>
        <v>1</v>
      </c>
      <c r="J30" s="6" t="n">
        <f aca="false">IF(AND(ISNUMBER(Responses!R36),Responses!R36=0),1,0)+IF(AND(ISNUMBER(Responses!R38),Responses!R38=0),1,0)</f>
        <v>0</v>
      </c>
      <c r="K30" s="6" t="n">
        <f aca="false">F30-G30</f>
        <v>0</v>
      </c>
      <c r="L30" s="7" t="n">
        <f aca="false">IF(G30=0,"",(H30+I30*0.5)/G30)</f>
        <v>0.75</v>
      </c>
    </row>
    <row r="31" customFormat="false" ht="29" hidden="false" customHeight="true" outlineLevel="0" collapsed="false">
      <c r="A31" s="4" t="s">
        <v>125</v>
      </c>
      <c r="B31" s="4" t="s">
        <v>72</v>
      </c>
      <c r="C31" s="4" t="s">
        <v>76</v>
      </c>
      <c r="D31" s="4" t="s">
        <v>126</v>
      </c>
      <c r="E31" s="4" t="n">
        <v>2</v>
      </c>
      <c r="F31" s="6" t="n">
        <f aca="false">IF(Responses!I10="Include",1,0)+IF(Responses!I15="Include",1,0)</f>
        <v>2</v>
      </c>
      <c r="G31" s="6" t="n">
        <f aca="false">IF(ISNUMBER(Responses!P10),1,0)+IF(ISNUMBER(Responses!P15),1,0)</f>
        <v>2</v>
      </c>
      <c r="H31" s="6" t="n">
        <f aca="false">IF(AND(ISNUMBER(Responses!P10),Responses!P10=1),1,0)+IF(AND(ISNUMBER(Responses!P15),Responses!P15=1),1,0)</f>
        <v>1</v>
      </c>
      <c r="I31" s="6" t="n">
        <f aca="false">IF(AND(ISNUMBER(Responses!P10),Responses!P10=0.5),1,0)+IF(AND(ISNUMBER(Responses!P15),Responses!P15=0.5),1,0)</f>
        <v>0</v>
      </c>
      <c r="J31" s="6" t="n">
        <f aca="false">IF(AND(ISNUMBER(Responses!P10),Responses!P10=0),1,0)+IF(AND(ISNUMBER(Responses!P15),Responses!P15=0),1,0)</f>
        <v>1</v>
      </c>
      <c r="K31" s="6" t="n">
        <f aca="false">F31-G31</f>
        <v>0</v>
      </c>
      <c r="L31" s="7" t="n">
        <f aca="false">IF(G31=0,"",(H31+I31*0.5)/G31)</f>
        <v>0.5</v>
      </c>
    </row>
    <row r="32" customFormat="false" ht="29" hidden="false" customHeight="true" outlineLevel="0" collapsed="false">
      <c r="A32" s="4" t="s">
        <v>125</v>
      </c>
      <c r="B32" s="4" t="s">
        <v>72</v>
      </c>
      <c r="C32" s="4" t="s">
        <v>76</v>
      </c>
      <c r="D32" s="4" t="s">
        <v>127</v>
      </c>
      <c r="E32" s="4" t="n">
        <v>2</v>
      </c>
      <c r="F32" s="6" t="n">
        <f aca="false">IF(Responses!I10="Include",1,0)+IF(Responses!I15="Include",1,0)</f>
        <v>2</v>
      </c>
      <c r="G32" s="6" t="n">
        <f aca="false">IF(ISNUMBER(Responses!Q10),1,0)+IF(ISNUMBER(Responses!Q15),1,0)</f>
        <v>2</v>
      </c>
      <c r="H32" s="6" t="n">
        <f aca="false">IF(AND(ISNUMBER(Responses!Q10),Responses!Q10=1),1,0)+IF(AND(ISNUMBER(Responses!Q15),Responses!Q15=1),1,0)</f>
        <v>1</v>
      </c>
      <c r="I32" s="6" t="n">
        <f aca="false">IF(AND(ISNUMBER(Responses!Q10),Responses!Q10=0.5),1,0)+IF(AND(ISNUMBER(Responses!Q15),Responses!Q15=0.5),1,0)</f>
        <v>0</v>
      </c>
      <c r="J32" s="6" t="n">
        <f aca="false">IF(AND(ISNUMBER(Responses!Q10),Responses!Q10=0),1,0)+IF(AND(ISNUMBER(Responses!Q15),Responses!Q15=0),1,0)</f>
        <v>1</v>
      </c>
      <c r="K32" s="6" t="n">
        <f aca="false">F32-G32</f>
        <v>0</v>
      </c>
      <c r="L32" s="7" t="n">
        <f aca="false">IF(G32=0,"",(H32+I32*0.5)/G32)</f>
        <v>0.5</v>
      </c>
    </row>
    <row r="33" customFormat="false" ht="29" hidden="false" customHeight="true" outlineLevel="0" collapsed="false">
      <c r="A33" s="4" t="s">
        <v>125</v>
      </c>
      <c r="B33" s="4" t="s">
        <v>72</v>
      </c>
      <c r="C33" s="4" t="s">
        <v>76</v>
      </c>
      <c r="D33" s="4" t="s">
        <v>128</v>
      </c>
      <c r="E33" s="4" t="n">
        <v>2</v>
      </c>
      <c r="F33" s="6" t="n">
        <f aca="false">IF(Responses!I10="Include",1,0)+IF(Responses!I15="Include",1,0)</f>
        <v>2</v>
      </c>
      <c r="G33" s="6" t="n">
        <f aca="false">IF(ISNUMBER(Responses!R10),1,0)+IF(ISNUMBER(Responses!R15),1,0)</f>
        <v>2</v>
      </c>
      <c r="H33" s="6" t="n">
        <f aca="false">IF(AND(ISNUMBER(Responses!R10),Responses!R10=1),1,0)+IF(AND(ISNUMBER(Responses!R15),Responses!R15=1),1,0)</f>
        <v>1</v>
      </c>
      <c r="I33" s="6" t="n">
        <f aca="false">IF(AND(ISNUMBER(Responses!R10),Responses!R10=0.5),1,0)+IF(AND(ISNUMBER(Responses!R15),Responses!R15=0.5),1,0)</f>
        <v>0</v>
      </c>
      <c r="J33" s="6" t="n">
        <f aca="false">IF(AND(ISNUMBER(Responses!R10),Responses!R10=0),1,0)+IF(AND(ISNUMBER(Responses!R15),Responses!R15=0),1,0)</f>
        <v>1</v>
      </c>
      <c r="K33" s="6" t="n">
        <f aca="false">F33-G33</f>
        <v>0</v>
      </c>
      <c r="L33" s="7" t="n">
        <f aca="false">IF(G33=0,"",(H33+I33*0.5)/G33)</f>
        <v>0.5</v>
      </c>
    </row>
    <row r="34" customFormat="false" ht="29" hidden="false" customHeight="true" outlineLevel="0" collapsed="false">
      <c r="A34" s="4" t="s">
        <v>125</v>
      </c>
      <c r="B34" s="4" t="s">
        <v>73</v>
      </c>
      <c r="C34" s="4" t="s">
        <v>85</v>
      </c>
      <c r="D34" s="4" t="s">
        <v>126</v>
      </c>
      <c r="E34" s="4" t="n">
        <v>2</v>
      </c>
      <c r="F34" s="6" t="n">
        <f aca="false">IF(Responses!I31="Include",1,0)+IF(Responses!I41="Include",1,0)</f>
        <v>2</v>
      </c>
      <c r="G34" s="6" t="n">
        <f aca="false">IF(ISNUMBER(Responses!P31),1,0)+IF(ISNUMBER(Responses!P41),1,0)</f>
        <v>2</v>
      </c>
      <c r="H34" s="6" t="n">
        <f aca="false">IF(AND(ISNUMBER(Responses!P31),Responses!P31=1),1,0)+IF(AND(ISNUMBER(Responses!P41),Responses!P41=1),1,0)</f>
        <v>1</v>
      </c>
      <c r="I34" s="6" t="n">
        <f aca="false">IF(AND(ISNUMBER(Responses!P31),Responses!P31=0.5),1,0)+IF(AND(ISNUMBER(Responses!P41),Responses!P41=0.5),1,0)</f>
        <v>0</v>
      </c>
      <c r="J34" s="6" t="n">
        <f aca="false">IF(AND(ISNUMBER(Responses!P31),Responses!P31=0),1,0)+IF(AND(ISNUMBER(Responses!P41),Responses!P41=0),1,0)</f>
        <v>1</v>
      </c>
      <c r="K34" s="6" t="n">
        <f aca="false">F34-G34</f>
        <v>0</v>
      </c>
      <c r="L34" s="7" t="n">
        <f aca="false">IF(G34=0,"",(H34+I34*0.5)/G34)</f>
        <v>0.5</v>
      </c>
    </row>
    <row r="35" customFormat="false" ht="29" hidden="false" customHeight="true" outlineLevel="0" collapsed="false">
      <c r="A35" s="4" t="s">
        <v>125</v>
      </c>
      <c r="B35" s="4" t="s">
        <v>73</v>
      </c>
      <c r="C35" s="4" t="s">
        <v>85</v>
      </c>
      <c r="D35" s="4" t="s">
        <v>127</v>
      </c>
      <c r="E35" s="4" t="n">
        <v>2</v>
      </c>
      <c r="F35" s="6" t="n">
        <f aca="false">IF(Responses!I31="Include",1,0)+IF(Responses!I41="Include",1,0)</f>
        <v>2</v>
      </c>
      <c r="G35" s="6" t="n">
        <f aca="false">IF(ISNUMBER(Responses!Q31),1,0)+IF(ISNUMBER(Responses!Q41),1,0)</f>
        <v>2</v>
      </c>
      <c r="H35" s="6" t="n">
        <f aca="false">IF(AND(ISNUMBER(Responses!Q31),Responses!Q31=1),1,0)+IF(AND(ISNUMBER(Responses!Q41),Responses!Q41=1),1,0)</f>
        <v>0</v>
      </c>
      <c r="I35" s="6" t="n">
        <f aca="false">IF(AND(ISNUMBER(Responses!Q31),Responses!Q31=0.5),1,0)+IF(AND(ISNUMBER(Responses!Q41),Responses!Q41=0.5),1,0)</f>
        <v>1</v>
      </c>
      <c r="J35" s="6" t="n">
        <f aca="false">IF(AND(ISNUMBER(Responses!Q31),Responses!Q31=0),1,0)+IF(AND(ISNUMBER(Responses!Q41),Responses!Q41=0),1,0)</f>
        <v>1</v>
      </c>
      <c r="K35" s="6" t="n">
        <f aca="false">F35-G35</f>
        <v>0</v>
      </c>
      <c r="L35" s="7" t="n">
        <f aca="false">IF(G35=0,"",(H35+I35*0.5)/G35)</f>
        <v>0.25</v>
      </c>
    </row>
    <row r="36" customFormat="false" ht="29" hidden="false" customHeight="true" outlineLevel="0" collapsed="false">
      <c r="A36" s="4" t="s">
        <v>125</v>
      </c>
      <c r="B36" s="4" t="s">
        <v>73</v>
      </c>
      <c r="C36" s="4" t="s">
        <v>85</v>
      </c>
      <c r="D36" s="4" t="s">
        <v>128</v>
      </c>
      <c r="E36" s="4" t="n">
        <v>2</v>
      </c>
      <c r="F36" s="6" t="n">
        <f aca="false">IF(Responses!I31="Include",1,0)+IF(Responses!I41="Include",1,0)</f>
        <v>2</v>
      </c>
      <c r="G36" s="6" t="n">
        <f aca="false">IF(ISNUMBER(Responses!R31),1,0)+IF(ISNUMBER(Responses!R41),1,0)</f>
        <v>2</v>
      </c>
      <c r="H36" s="6" t="n">
        <f aca="false">IF(AND(ISNUMBER(Responses!R31),Responses!R31=1),1,0)+IF(AND(ISNUMBER(Responses!R41),Responses!R41=1),1,0)</f>
        <v>1</v>
      </c>
      <c r="I36" s="6" t="n">
        <f aca="false">IF(AND(ISNUMBER(Responses!R31),Responses!R31=0.5),1,0)+IF(AND(ISNUMBER(Responses!R41),Responses!R41=0.5),1,0)</f>
        <v>0</v>
      </c>
      <c r="J36" s="6" t="n">
        <f aca="false">IF(AND(ISNUMBER(Responses!R31),Responses!R31=0),1,0)+IF(AND(ISNUMBER(Responses!R41),Responses!R41=0),1,0)</f>
        <v>1</v>
      </c>
      <c r="K36" s="6" t="n">
        <f aca="false">F36-G36</f>
        <v>0</v>
      </c>
      <c r="L36" s="7" t="n">
        <f aca="false">IF(G36=0,"",(H36+I36*0.5)/G36)</f>
        <v>0.5</v>
      </c>
    </row>
    <row r="37" customFormat="false" ht="29" hidden="false" customHeight="true" outlineLevel="0" collapsed="false">
      <c r="A37" s="4" t="s">
        <v>125</v>
      </c>
      <c r="B37" s="4" t="s">
        <v>73</v>
      </c>
      <c r="C37" s="4" t="s">
        <v>92</v>
      </c>
      <c r="D37" s="4" t="s">
        <v>126</v>
      </c>
      <c r="E37" s="4" t="n">
        <v>2</v>
      </c>
      <c r="F37" s="6" t="n">
        <f aca="false">IF(Responses!I39="Include",1,0)+IF(Responses!I43="Include",1,0)</f>
        <v>2</v>
      </c>
      <c r="G37" s="6" t="n">
        <f aca="false">IF(ISNUMBER(Responses!P39),1,0)+IF(ISNUMBER(Responses!P43),1,0)</f>
        <v>2</v>
      </c>
      <c r="H37" s="6" t="n">
        <f aca="false">IF(AND(ISNUMBER(Responses!P39),Responses!P39=1),1,0)+IF(AND(ISNUMBER(Responses!P43),Responses!P43=1),1,0)</f>
        <v>2</v>
      </c>
      <c r="I37" s="6" t="n">
        <f aca="false">IF(AND(ISNUMBER(Responses!P39),Responses!P39=0.5),1,0)+IF(AND(ISNUMBER(Responses!P43),Responses!P43=0.5),1,0)</f>
        <v>0</v>
      </c>
      <c r="J37" s="6" t="n">
        <f aca="false">IF(AND(ISNUMBER(Responses!P39),Responses!P39=0),1,0)+IF(AND(ISNUMBER(Responses!P43),Responses!P43=0),1,0)</f>
        <v>0</v>
      </c>
      <c r="K37" s="6" t="n">
        <f aca="false">F37-G37</f>
        <v>0</v>
      </c>
      <c r="L37" s="7" t="n">
        <f aca="false">IF(G37=0,"",(H37+I37*0.5)/G37)</f>
        <v>1</v>
      </c>
    </row>
    <row r="38" customFormat="false" ht="29" hidden="false" customHeight="true" outlineLevel="0" collapsed="false">
      <c r="A38" s="4" t="s">
        <v>125</v>
      </c>
      <c r="B38" s="4" t="s">
        <v>73</v>
      </c>
      <c r="C38" s="4" t="s">
        <v>92</v>
      </c>
      <c r="D38" s="4" t="s">
        <v>127</v>
      </c>
      <c r="E38" s="4" t="n">
        <v>2</v>
      </c>
      <c r="F38" s="6" t="n">
        <f aca="false">IF(Responses!I39="Include",1,0)+IF(Responses!I43="Include",1,0)</f>
        <v>2</v>
      </c>
      <c r="G38" s="6" t="n">
        <f aca="false">IF(ISNUMBER(Responses!Q39),1,0)+IF(ISNUMBER(Responses!Q43),1,0)</f>
        <v>2</v>
      </c>
      <c r="H38" s="6" t="n">
        <f aca="false">IF(AND(ISNUMBER(Responses!Q39),Responses!Q39=1),1,0)+IF(AND(ISNUMBER(Responses!Q43),Responses!Q43=1),1,0)</f>
        <v>0</v>
      </c>
      <c r="I38" s="6" t="n">
        <f aca="false">IF(AND(ISNUMBER(Responses!Q39),Responses!Q39=0.5),1,0)+IF(AND(ISNUMBER(Responses!Q43),Responses!Q43=0.5),1,0)</f>
        <v>0</v>
      </c>
      <c r="J38" s="6" t="n">
        <f aca="false">IF(AND(ISNUMBER(Responses!Q39),Responses!Q39=0),1,0)+IF(AND(ISNUMBER(Responses!Q43),Responses!Q43=0),1,0)</f>
        <v>2</v>
      </c>
      <c r="K38" s="6" t="n">
        <f aca="false">F38-G38</f>
        <v>0</v>
      </c>
      <c r="L38" s="7" t="n">
        <f aca="false">IF(G38=0,"",(H38+I38*0.5)/G38)</f>
        <v>0</v>
      </c>
    </row>
    <row r="39" customFormat="false" ht="29" hidden="false" customHeight="true" outlineLevel="0" collapsed="false">
      <c r="A39" s="4" t="s">
        <v>125</v>
      </c>
      <c r="B39" s="4" t="s">
        <v>73</v>
      </c>
      <c r="C39" s="4" t="s">
        <v>92</v>
      </c>
      <c r="D39" s="4" t="s">
        <v>128</v>
      </c>
      <c r="E39" s="4" t="n">
        <v>2</v>
      </c>
      <c r="F39" s="6" t="n">
        <f aca="false">IF(Responses!I39="Include",1,0)+IF(Responses!I43="Include",1,0)</f>
        <v>2</v>
      </c>
      <c r="G39" s="6" t="n">
        <f aca="false">IF(ISNUMBER(Responses!R39),1,0)+IF(ISNUMBER(Responses!R43),1,0)</f>
        <v>2</v>
      </c>
      <c r="H39" s="6" t="n">
        <f aca="false">IF(AND(ISNUMBER(Responses!R39),Responses!R39=1),1,0)+IF(AND(ISNUMBER(Responses!R43),Responses!R43=1),1,0)</f>
        <v>1</v>
      </c>
      <c r="I39" s="6" t="n">
        <f aca="false">IF(AND(ISNUMBER(Responses!R39),Responses!R39=0.5),1,0)+IF(AND(ISNUMBER(Responses!R43),Responses!R43=0.5),1,0)</f>
        <v>0</v>
      </c>
      <c r="J39" s="6" t="n">
        <f aca="false">IF(AND(ISNUMBER(Responses!R39),Responses!R39=0),1,0)+IF(AND(ISNUMBER(Responses!R43),Responses!R43=0),1,0)</f>
        <v>1</v>
      </c>
      <c r="K39" s="6" t="n">
        <f aca="false">F39-G39</f>
        <v>0</v>
      </c>
      <c r="L39" s="7" t="n">
        <f aca="false">IF(G39=0,"",(H39+I39*0.5)/G39)</f>
        <v>0.5</v>
      </c>
    </row>
    <row r="40" customFormat="false" ht="29" hidden="false" customHeight="true" outlineLevel="0" collapsed="false">
      <c r="A40" s="4" t="s">
        <v>125</v>
      </c>
      <c r="B40" s="4" t="s">
        <v>88</v>
      </c>
      <c r="C40" s="4" t="s">
        <v>77</v>
      </c>
      <c r="D40" s="4" t="s">
        <v>126</v>
      </c>
      <c r="E40" s="4" t="n">
        <v>4</v>
      </c>
      <c r="F40" s="6" t="n">
        <f aca="false">IF(Responses!I42="Include",1,0)+IF(Responses!I47="Include",1,0)+IF(Responses!I59="Include",1,0)+IF(Responses!I62="Include",1,0)</f>
        <v>4</v>
      </c>
      <c r="G40" s="6" t="n">
        <f aca="false">IF(ISNUMBER(Responses!P42),1,0)+IF(ISNUMBER(Responses!P47),1,0)+IF(ISNUMBER(Responses!P59),1,0)+IF(ISNUMBER(Responses!P62),1,0)</f>
        <v>4</v>
      </c>
      <c r="H40" s="6" t="n">
        <f aca="false">IF(AND(ISNUMBER(Responses!P42),Responses!P42=1),1,0)+IF(AND(ISNUMBER(Responses!P47),Responses!P47=1),1,0)+IF(AND(ISNUMBER(Responses!P59),Responses!P59=1),1,0)+IF(AND(ISNUMBER(Responses!P62),Responses!P62=1),1,0)</f>
        <v>2</v>
      </c>
      <c r="I40" s="6" t="n">
        <f aca="false">IF(AND(ISNUMBER(Responses!P42),Responses!P42=0.5),1,0)+IF(AND(ISNUMBER(Responses!P47),Responses!P47=0.5),1,0)+IF(AND(ISNUMBER(Responses!P59),Responses!P59=0.5),1,0)+IF(AND(ISNUMBER(Responses!P62),Responses!P62=0.5),1,0)</f>
        <v>0</v>
      </c>
      <c r="J40" s="6" t="n">
        <f aca="false">IF(AND(ISNUMBER(Responses!P42),Responses!P42=0),1,0)+IF(AND(ISNUMBER(Responses!P47),Responses!P47=0),1,0)+IF(AND(ISNUMBER(Responses!P59),Responses!P59=0),1,0)+IF(AND(ISNUMBER(Responses!P62),Responses!P62=0),1,0)</f>
        <v>2</v>
      </c>
      <c r="K40" s="6" t="n">
        <f aca="false">F40-G40</f>
        <v>0</v>
      </c>
      <c r="L40" s="7" t="n">
        <f aca="false">IF(G40=0,"",(H40+I40*0.5)/G40)</f>
        <v>0.5</v>
      </c>
    </row>
    <row r="41" customFormat="false" ht="29" hidden="false" customHeight="true" outlineLevel="0" collapsed="false">
      <c r="A41" s="4" t="s">
        <v>125</v>
      </c>
      <c r="B41" s="4" t="s">
        <v>88</v>
      </c>
      <c r="C41" s="4" t="s">
        <v>77</v>
      </c>
      <c r="D41" s="4" t="s">
        <v>127</v>
      </c>
      <c r="E41" s="4" t="n">
        <v>4</v>
      </c>
      <c r="F41" s="6" t="n">
        <f aca="false">IF(Responses!I42="Include",1,0)+IF(Responses!I47="Include",1,0)+IF(Responses!I59="Include",1,0)+IF(Responses!I62="Include",1,0)</f>
        <v>4</v>
      </c>
      <c r="G41" s="6" t="n">
        <f aca="false">IF(ISNUMBER(Responses!Q42),1,0)+IF(ISNUMBER(Responses!Q47),1,0)+IF(ISNUMBER(Responses!Q59),1,0)+IF(ISNUMBER(Responses!Q62),1,0)</f>
        <v>4</v>
      </c>
      <c r="H41" s="6" t="n">
        <f aca="false">IF(AND(ISNUMBER(Responses!Q42),Responses!Q42=1),1,0)+IF(AND(ISNUMBER(Responses!Q47),Responses!Q47=1),1,0)+IF(AND(ISNUMBER(Responses!Q59),Responses!Q59=1),1,0)+IF(AND(ISNUMBER(Responses!Q62),Responses!Q62=1),1,0)</f>
        <v>0</v>
      </c>
      <c r="I41" s="6" t="n">
        <f aca="false">IF(AND(ISNUMBER(Responses!Q42),Responses!Q42=0.5),1,0)+IF(AND(ISNUMBER(Responses!Q47),Responses!Q47=0.5),1,0)+IF(AND(ISNUMBER(Responses!Q59),Responses!Q59=0.5),1,0)+IF(AND(ISNUMBER(Responses!Q62),Responses!Q62=0.5),1,0)</f>
        <v>0</v>
      </c>
      <c r="J41" s="6" t="n">
        <f aca="false">IF(AND(ISNUMBER(Responses!Q42),Responses!Q42=0),1,0)+IF(AND(ISNUMBER(Responses!Q47),Responses!Q47=0),1,0)+IF(AND(ISNUMBER(Responses!Q59),Responses!Q59=0),1,0)+IF(AND(ISNUMBER(Responses!Q62),Responses!Q62=0),1,0)</f>
        <v>4</v>
      </c>
      <c r="K41" s="6" t="n">
        <f aca="false">F41-G41</f>
        <v>0</v>
      </c>
      <c r="L41" s="7" t="n">
        <f aca="false">IF(G41=0,"",(H41+I41*0.5)/G41)</f>
        <v>0</v>
      </c>
    </row>
    <row r="42" customFormat="false" ht="29" hidden="false" customHeight="true" outlineLevel="0" collapsed="false">
      <c r="A42" s="4" t="s">
        <v>125</v>
      </c>
      <c r="B42" s="4" t="s">
        <v>88</v>
      </c>
      <c r="C42" s="4" t="s">
        <v>77</v>
      </c>
      <c r="D42" s="4" t="s">
        <v>128</v>
      </c>
      <c r="E42" s="4" t="n">
        <v>4</v>
      </c>
      <c r="F42" s="6" t="n">
        <f aca="false">IF(Responses!I42="Include",1,0)+IF(Responses!I47="Include",1,0)+IF(Responses!I59="Include",1,0)+IF(Responses!I62="Include",1,0)</f>
        <v>4</v>
      </c>
      <c r="G42" s="6" t="n">
        <f aca="false">IF(ISNUMBER(Responses!R42),1,0)+IF(ISNUMBER(Responses!R47),1,0)+IF(ISNUMBER(Responses!R59),1,0)+IF(ISNUMBER(Responses!R62),1,0)</f>
        <v>4</v>
      </c>
      <c r="H42" s="6" t="n">
        <f aca="false">IF(AND(ISNUMBER(Responses!R42),Responses!R42=1),1,0)+IF(AND(ISNUMBER(Responses!R47),Responses!R47=1),1,0)+IF(AND(ISNUMBER(Responses!R59),Responses!R59=1),1,0)+IF(AND(ISNUMBER(Responses!R62),Responses!R62=1),1,0)</f>
        <v>2</v>
      </c>
      <c r="I42" s="6" t="n">
        <f aca="false">IF(AND(ISNUMBER(Responses!R42),Responses!R42=0.5),1,0)+IF(AND(ISNUMBER(Responses!R47),Responses!R47=0.5),1,0)+IF(AND(ISNUMBER(Responses!R59),Responses!R59=0.5),1,0)+IF(AND(ISNUMBER(Responses!R62),Responses!R62=0.5),1,0)</f>
        <v>0</v>
      </c>
      <c r="J42" s="6" t="n">
        <f aca="false">IF(AND(ISNUMBER(Responses!R42),Responses!R42=0),1,0)+IF(AND(ISNUMBER(Responses!R47),Responses!R47=0),1,0)+IF(AND(ISNUMBER(Responses!R59),Responses!R59=0),1,0)+IF(AND(ISNUMBER(Responses!R62),Responses!R62=0),1,0)</f>
        <v>2</v>
      </c>
      <c r="K42" s="6" t="n">
        <f aca="false">F42-G42</f>
        <v>0</v>
      </c>
      <c r="L42" s="7" t="n">
        <f aca="false">IF(G42=0,"",(H42+I42*0.5)/G42)</f>
        <v>0.5</v>
      </c>
    </row>
    <row r="43" customFormat="false" ht="29" hidden="false" customHeight="true" outlineLevel="0" collapsed="false">
      <c r="A43" s="4" t="s">
        <v>125</v>
      </c>
      <c r="B43" s="4" t="s">
        <v>72</v>
      </c>
      <c r="C43" s="4" t="s">
        <v>73</v>
      </c>
      <c r="D43" s="4" t="s">
        <v>126</v>
      </c>
      <c r="E43" s="4" t="n">
        <v>2</v>
      </c>
      <c r="F43" s="6" t="n">
        <f aca="false">IF(Responses!I7="Include",1,0)+IF(Responses!I72="Include",1,0)</f>
        <v>2</v>
      </c>
      <c r="G43" s="6" t="n">
        <f aca="false">IF(ISNUMBER(Responses!P7),1,0)+IF(ISNUMBER(Responses!P72),1,0)</f>
        <v>2</v>
      </c>
      <c r="H43" s="6" t="n">
        <f aca="false">IF(AND(ISNUMBER(Responses!P7),Responses!P7=1),1,0)+IF(AND(ISNUMBER(Responses!P72),Responses!P72=1),1,0)</f>
        <v>2</v>
      </c>
      <c r="I43" s="6" t="n">
        <f aca="false">IF(AND(ISNUMBER(Responses!P7),Responses!P7=0.5),1,0)+IF(AND(ISNUMBER(Responses!P72),Responses!P72=0.5),1,0)</f>
        <v>0</v>
      </c>
      <c r="J43" s="6" t="n">
        <f aca="false">IF(AND(ISNUMBER(Responses!P7),Responses!P7=0),1,0)+IF(AND(ISNUMBER(Responses!P72),Responses!P72=0),1,0)</f>
        <v>0</v>
      </c>
      <c r="K43" s="6" t="n">
        <f aca="false">F43-G43</f>
        <v>0</v>
      </c>
      <c r="L43" s="7" t="n">
        <f aca="false">IF(G43=0,"",(H43+I43*0.5)/G43)</f>
        <v>1</v>
      </c>
    </row>
    <row r="44" customFormat="false" ht="29" hidden="false" customHeight="true" outlineLevel="0" collapsed="false">
      <c r="A44" s="4" t="s">
        <v>125</v>
      </c>
      <c r="B44" s="4" t="s">
        <v>72</v>
      </c>
      <c r="C44" s="4" t="s">
        <v>73</v>
      </c>
      <c r="D44" s="4" t="s">
        <v>127</v>
      </c>
      <c r="E44" s="4" t="n">
        <v>2</v>
      </c>
      <c r="F44" s="6" t="n">
        <f aca="false">IF(Responses!I7="Include",1,0)+IF(Responses!I72="Include",1,0)</f>
        <v>2</v>
      </c>
      <c r="G44" s="6" t="n">
        <f aca="false">IF(ISNUMBER(Responses!Q7),1,0)+IF(ISNUMBER(Responses!Q72),1,0)</f>
        <v>2</v>
      </c>
      <c r="H44" s="6" t="n">
        <f aca="false">IF(AND(ISNUMBER(Responses!Q7),Responses!Q7=1),1,0)+IF(AND(ISNUMBER(Responses!Q72),Responses!Q72=1),1,0)</f>
        <v>2</v>
      </c>
      <c r="I44" s="6" t="n">
        <f aca="false">IF(AND(ISNUMBER(Responses!Q7),Responses!Q7=0.5),1,0)+IF(AND(ISNUMBER(Responses!Q72),Responses!Q72=0.5),1,0)</f>
        <v>0</v>
      </c>
      <c r="J44" s="6" t="n">
        <f aca="false">IF(AND(ISNUMBER(Responses!Q7),Responses!Q7=0),1,0)+IF(AND(ISNUMBER(Responses!Q72),Responses!Q72=0),1,0)</f>
        <v>0</v>
      </c>
      <c r="K44" s="6" t="n">
        <f aca="false">F44-G44</f>
        <v>0</v>
      </c>
      <c r="L44" s="7" t="n">
        <f aca="false">IF(G44=0,"",(H44+I44*0.5)/G44)</f>
        <v>1</v>
      </c>
    </row>
    <row r="45" customFormat="false" ht="29" hidden="false" customHeight="true" outlineLevel="0" collapsed="false">
      <c r="A45" s="4" t="s">
        <v>125</v>
      </c>
      <c r="B45" s="4" t="s">
        <v>72</v>
      </c>
      <c r="C45" s="4" t="s">
        <v>73</v>
      </c>
      <c r="D45" s="4" t="s">
        <v>128</v>
      </c>
      <c r="E45" s="4" t="n">
        <v>2</v>
      </c>
      <c r="F45" s="6" t="n">
        <f aca="false">IF(Responses!I7="Include",1,0)+IF(Responses!I72="Include",1,0)</f>
        <v>2</v>
      </c>
      <c r="G45" s="6" t="n">
        <f aca="false">IF(ISNUMBER(Responses!R7),1,0)+IF(ISNUMBER(Responses!R72),1,0)</f>
        <v>1</v>
      </c>
      <c r="H45" s="6" t="n">
        <f aca="false">IF(AND(ISNUMBER(Responses!R7),Responses!R7=1),1,0)+IF(AND(ISNUMBER(Responses!R72),Responses!R72=1),1,0)</f>
        <v>1</v>
      </c>
      <c r="I45" s="6" t="n">
        <f aca="false">IF(AND(ISNUMBER(Responses!R7),Responses!R7=0.5),1,0)+IF(AND(ISNUMBER(Responses!R72),Responses!R72=0.5),1,0)</f>
        <v>0</v>
      </c>
      <c r="J45" s="6" t="n">
        <f aca="false">IF(AND(ISNUMBER(Responses!R7),Responses!R7=0),1,0)+IF(AND(ISNUMBER(Responses!R72),Responses!R72=0),1,0)</f>
        <v>0</v>
      </c>
      <c r="K45" s="6" t="n">
        <f aca="false">F45-G45</f>
        <v>1</v>
      </c>
      <c r="L45" s="7" t="n">
        <f aca="false">IF(G45=0,"",(H45+I45*0.5)/G45)</f>
        <v>1</v>
      </c>
    </row>
    <row r="46" customFormat="false" ht="29" hidden="false" customHeight="true" outlineLevel="0" collapsed="false">
      <c r="A46" s="4" t="s">
        <v>125</v>
      </c>
      <c r="B46" s="4" t="s">
        <v>85</v>
      </c>
      <c r="C46" s="4" t="s">
        <v>77</v>
      </c>
      <c r="D46" s="4" t="s">
        <v>126</v>
      </c>
      <c r="E46" s="4" t="n">
        <v>2</v>
      </c>
      <c r="F46" s="6" t="n">
        <f aca="false">IF(Responses!I11="Include",1,0)+IF(Responses!I69="Include",1,0)</f>
        <v>2</v>
      </c>
      <c r="G46" s="6" t="n">
        <f aca="false">IF(ISNUMBER(Responses!P11),1,0)+IF(ISNUMBER(Responses!P69),1,0)</f>
        <v>2</v>
      </c>
      <c r="H46" s="6" t="n">
        <f aca="false">IF(AND(ISNUMBER(Responses!P11),Responses!P11=1),1,0)+IF(AND(ISNUMBER(Responses!P69),Responses!P69=1),1,0)</f>
        <v>0</v>
      </c>
      <c r="I46" s="6" t="n">
        <f aca="false">IF(AND(ISNUMBER(Responses!P11),Responses!P11=0.5),1,0)+IF(AND(ISNUMBER(Responses!P69),Responses!P69=0.5),1,0)</f>
        <v>0</v>
      </c>
      <c r="J46" s="6" t="n">
        <f aca="false">IF(AND(ISNUMBER(Responses!P11),Responses!P11=0),1,0)+IF(AND(ISNUMBER(Responses!P69),Responses!P69=0),1,0)</f>
        <v>2</v>
      </c>
      <c r="K46" s="6" t="n">
        <f aca="false">F46-G46</f>
        <v>0</v>
      </c>
      <c r="L46" s="7" t="n">
        <f aca="false">IF(G46=0,"",(H46+I46*0.5)/G46)</f>
        <v>0</v>
      </c>
    </row>
    <row r="47" customFormat="false" ht="29" hidden="false" customHeight="true" outlineLevel="0" collapsed="false">
      <c r="A47" s="4" t="s">
        <v>125</v>
      </c>
      <c r="B47" s="4" t="s">
        <v>85</v>
      </c>
      <c r="C47" s="4" t="s">
        <v>77</v>
      </c>
      <c r="D47" s="4" t="s">
        <v>127</v>
      </c>
      <c r="E47" s="4" t="n">
        <v>2</v>
      </c>
      <c r="F47" s="6" t="n">
        <f aca="false">IF(Responses!I11="Include",1,0)+IF(Responses!I69="Include",1,0)</f>
        <v>2</v>
      </c>
      <c r="G47" s="6" t="n">
        <f aca="false">IF(ISNUMBER(Responses!Q11),1,0)+IF(ISNUMBER(Responses!Q69),1,0)</f>
        <v>2</v>
      </c>
      <c r="H47" s="6" t="n">
        <f aca="false">IF(AND(ISNUMBER(Responses!Q11),Responses!Q11=1),1,0)+IF(AND(ISNUMBER(Responses!Q69),Responses!Q69=1),1,0)</f>
        <v>0</v>
      </c>
      <c r="I47" s="6" t="n">
        <f aca="false">IF(AND(ISNUMBER(Responses!Q11),Responses!Q11=0.5),1,0)+IF(AND(ISNUMBER(Responses!Q69),Responses!Q69=0.5),1,0)</f>
        <v>0</v>
      </c>
      <c r="J47" s="6" t="n">
        <f aca="false">IF(AND(ISNUMBER(Responses!Q11),Responses!Q11=0),1,0)+IF(AND(ISNUMBER(Responses!Q69),Responses!Q69=0),1,0)</f>
        <v>2</v>
      </c>
      <c r="K47" s="6" t="n">
        <f aca="false">F47-G47</f>
        <v>0</v>
      </c>
      <c r="L47" s="7" t="n">
        <f aca="false">IF(G47=0,"",(H47+I47*0.5)/G47)</f>
        <v>0</v>
      </c>
    </row>
    <row r="48" customFormat="false" ht="29" hidden="false" customHeight="true" outlineLevel="0" collapsed="false">
      <c r="A48" s="4" t="s">
        <v>125</v>
      </c>
      <c r="B48" s="4" t="s">
        <v>85</v>
      </c>
      <c r="C48" s="4" t="s">
        <v>77</v>
      </c>
      <c r="D48" s="4" t="s">
        <v>128</v>
      </c>
      <c r="E48" s="4" t="n">
        <v>2</v>
      </c>
      <c r="F48" s="6" t="n">
        <f aca="false">IF(Responses!I11="Include",1,0)+IF(Responses!I69="Include",1,0)</f>
        <v>2</v>
      </c>
      <c r="G48" s="6" t="n">
        <f aca="false">IF(ISNUMBER(Responses!R11),1,0)+IF(ISNUMBER(Responses!R69),1,0)</f>
        <v>1</v>
      </c>
      <c r="H48" s="6" t="n">
        <f aca="false">IF(AND(ISNUMBER(Responses!R11),Responses!R11=1),1,0)+IF(AND(ISNUMBER(Responses!R69),Responses!R69=1),1,0)</f>
        <v>0</v>
      </c>
      <c r="I48" s="6" t="n">
        <f aca="false">IF(AND(ISNUMBER(Responses!R11),Responses!R11=0.5),1,0)+IF(AND(ISNUMBER(Responses!R69),Responses!R69=0.5),1,0)</f>
        <v>0</v>
      </c>
      <c r="J48" s="6" t="n">
        <f aca="false">IF(AND(ISNUMBER(Responses!R11),Responses!R11=0),1,0)+IF(AND(ISNUMBER(Responses!R69),Responses!R69=0),1,0)</f>
        <v>1</v>
      </c>
      <c r="K48" s="6" t="n">
        <f aca="false">F48-G48</f>
        <v>1</v>
      </c>
      <c r="L48" s="7" t="n">
        <f aca="false">IF(G48=0,"",(H48+I48*0.5)/G48)</f>
        <v>0</v>
      </c>
    </row>
    <row r="49" customFormat="false" ht="29" hidden="false" customHeight="true" outlineLevel="0" collapsed="false">
      <c r="A49" s="4" t="s">
        <v>125</v>
      </c>
      <c r="B49" s="4" t="s">
        <v>73</v>
      </c>
      <c r="C49" s="4" t="s">
        <v>76</v>
      </c>
      <c r="D49" s="4" t="s">
        <v>126</v>
      </c>
      <c r="E49" s="4" t="n">
        <v>2</v>
      </c>
      <c r="F49" s="6" t="n">
        <f aca="false">IF(Responses!I23="Include",1,0)+IF(Responses!I26="Include",1,0)</f>
        <v>1</v>
      </c>
      <c r="G49" s="6" t="n">
        <f aca="false">IF(ISNUMBER(Responses!P23),1,0)+IF(ISNUMBER(Responses!P26),1,0)</f>
        <v>1</v>
      </c>
      <c r="H49" s="6" t="n">
        <f aca="false">IF(AND(ISNUMBER(Responses!P23),Responses!P23=1),1,0)+IF(AND(ISNUMBER(Responses!P26),Responses!P26=1),1,0)</f>
        <v>1</v>
      </c>
      <c r="I49" s="6" t="n">
        <f aca="false">IF(AND(ISNUMBER(Responses!P23),Responses!P23=0.5),1,0)+IF(AND(ISNUMBER(Responses!P26),Responses!P26=0.5),1,0)</f>
        <v>0</v>
      </c>
      <c r="J49" s="6" t="n">
        <f aca="false">IF(AND(ISNUMBER(Responses!P23),Responses!P23=0),1,0)+IF(AND(ISNUMBER(Responses!P26),Responses!P26=0),1,0)</f>
        <v>0</v>
      </c>
      <c r="K49" s="6" t="n">
        <f aca="false">F49-G49</f>
        <v>0</v>
      </c>
      <c r="L49" s="7" t="n">
        <f aca="false">IF(G49=0,"",(H49+I49*0.5)/G49)</f>
        <v>1</v>
      </c>
    </row>
    <row r="50" customFormat="false" ht="29" hidden="false" customHeight="true" outlineLevel="0" collapsed="false">
      <c r="A50" s="4" t="s">
        <v>125</v>
      </c>
      <c r="B50" s="4" t="s">
        <v>73</v>
      </c>
      <c r="C50" s="4" t="s">
        <v>76</v>
      </c>
      <c r="D50" s="4" t="s">
        <v>127</v>
      </c>
      <c r="E50" s="4" t="n">
        <v>2</v>
      </c>
      <c r="F50" s="6" t="n">
        <f aca="false">IF(Responses!I23="Include",1,0)+IF(Responses!I26="Include",1,0)</f>
        <v>1</v>
      </c>
      <c r="G50" s="6" t="n">
        <f aca="false">IF(ISNUMBER(Responses!Q23),1,0)+IF(ISNUMBER(Responses!Q26),1,0)</f>
        <v>1</v>
      </c>
      <c r="H50" s="6" t="n">
        <f aca="false">IF(AND(ISNUMBER(Responses!Q23),Responses!Q23=1),1,0)+IF(AND(ISNUMBER(Responses!Q26),Responses!Q26=1),1,0)</f>
        <v>0</v>
      </c>
      <c r="I50" s="6" t="n">
        <f aca="false">IF(AND(ISNUMBER(Responses!Q23),Responses!Q23=0.5),1,0)+IF(AND(ISNUMBER(Responses!Q26),Responses!Q26=0.5),1,0)</f>
        <v>0</v>
      </c>
      <c r="J50" s="6" t="n">
        <f aca="false">IF(AND(ISNUMBER(Responses!Q23),Responses!Q23=0),1,0)+IF(AND(ISNUMBER(Responses!Q26),Responses!Q26=0),1,0)</f>
        <v>1</v>
      </c>
      <c r="K50" s="6" t="n">
        <f aca="false">F50-G50</f>
        <v>0</v>
      </c>
      <c r="L50" s="7" t="n">
        <f aca="false">IF(G50=0,"",(H50+I50*0.5)/G50)</f>
        <v>0</v>
      </c>
    </row>
    <row r="51" customFormat="false" ht="29" hidden="false" customHeight="true" outlineLevel="0" collapsed="false">
      <c r="A51" s="4" t="s">
        <v>125</v>
      </c>
      <c r="B51" s="4" t="s">
        <v>73</v>
      </c>
      <c r="C51" s="4" t="s">
        <v>76</v>
      </c>
      <c r="D51" s="4" t="s">
        <v>128</v>
      </c>
      <c r="E51" s="4" t="n">
        <v>2</v>
      </c>
      <c r="F51" s="6" t="n">
        <f aca="false">IF(Responses!I23="Include",1,0)+IF(Responses!I26="Include",1,0)</f>
        <v>1</v>
      </c>
      <c r="G51" s="6" t="n">
        <f aca="false">IF(ISNUMBER(Responses!R23),1,0)+IF(ISNUMBER(Responses!R26),1,0)</f>
        <v>1</v>
      </c>
      <c r="H51" s="6" t="n">
        <f aca="false">IF(AND(ISNUMBER(Responses!R23),Responses!R23=1),1,0)+IF(AND(ISNUMBER(Responses!R26),Responses!R26=1),1,0)</f>
        <v>1</v>
      </c>
      <c r="I51" s="6" t="n">
        <f aca="false">IF(AND(ISNUMBER(Responses!R23),Responses!R23=0.5),1,0)+IF(AND(ISNUMBER(Responses!R26),Responses!R26=0.5),1,0)</f>
        <v>0</v>
      </c>
      <c r="J51" s="6" t="n">
        <f aca="false">IF(AND(ISNUMBER(Responses!R23),Responses!R23=0),1,0)+IF(AND(ISNUMBER(Responses!R26),Responses!R26=0),1,0)</f>
        <v>0</v>
      </c>
      <c r="K51" s="6" t="n">
        <f aca="false">F51-G51</f>
        <v>0</v>
      </c>
      <c r="L51" s="7" t="n">
        <f aca="false">IF(G51=0,"",(H51+I51*0.5)/G51)</f>
        <v>1</v>
      </c>
    </row>
    <row r="52" customFormat="false" ht="29" hidden="false" customHeight="true" outlineLevel="0" collapsed="false">
      <c r="A52" s="4" t="s">
        <v>125</v>
      </c>
      <c r="B52" s="4" t="s">
        <v>72</v>
      </c>
      <c r="C52" s="4" t="s">
        <v>77</v>
      </c>
      <c r="D52" s="4" t="s">
        <v>126</v>
      </c>
      <c r="E52" s="4" t="n">
        <v>2</v>
      </c>
      <c r="F52" s="6" t="n">
        <f aca="false">IF(Responses!I44="Include",1,0)+IF(Responses!I54="Include",1,0)</f>
        <v>2</v>
      </c>
      <c r="G52" s="6" t="n">
        <f aca="false">IF(ISNUMBER(Responses!P44),1,0)+IF(ISNUMBER(Responses!P54),1,0)</f>
        <v>2</v>
      </c>
      <c r="H52" s="6" t="n">
        <f aca="false">IF(AND(ISNUMBER(Responses!P44),Responses!P44=1),1,0)+IF(AND(ISNUMBER(Responses!P54),Responses!P54=1),1,0)</f>
        <v>1</v>
      </c>
      <c r="I52" s="6" t="n">
        <f aca="false">IF(AND(ISNUMBER(Responses!P44),Responses!P44=0.5),1,0)+IF(AND(ISNUMBER(Responses!P54),Responses!P54=0.5),1,0)</f>
        <v>0</v>
      </c>
      <c r="J52" s="6" t="n">
        <f aca="false">IF(AND(ISNUMBER(Responses!P44),Responses!P44=0),1,0)+IF(AND(ISNUMBER(Responses!P54),Responses!P54=0),1,0)</f>
        <v>1</v>
      </c>
      <c r="K52" s="6" t="n">
        <f aca="false">F52-G52</f>
        <v>0</v>
      </c>
      <c r="L52" s="7" t="n">
        <f aca="false">IF(G52=0,"",(H52+I52*0.5)/G52)</f>
        <v>0.5</v>
      </c>
    </row>
    <row r="53" customFormat="false" ht="29" hidden="false" customHeight="true" outlineLevel="0" collapsed="false">
      <c r="A53" s="4" t="s">
        <v>125</v>
      </c>
      <c r="B53" s="4" t="s">
        <v>72</v>
      </c>
      <c r="C53" s="4" t="s">
        <v>77</v>
      </c>
      <c r="D53" s="4" t="s">
        <v>127</v>
      </c>
      <c r="E53" s="4" t="n">
        <v>2</v>
      </c>
      <c r="F53" s="6" t="n">
        <f aca="false">IF(Responses!I44="Include",1,0)+IF(Responses!I54="Include",1,0)</f>
        <v>2</v>
      </c>
      <c r="G53" s="6" t="n">
        <f aca="false">IF(ISNUMBER(Responses!Q44),1,0)+IF(ISNUMBER(Responses!Q54),1,0)</f>
        <v>2</v>
      </c>
      <c r="H53" s="6" t="n">
        <f aca="false">IF(AND(ISNUMBER(Responses!Q44),Responses!Q44=1),1,0)+IF(AND(ISNUMBER(Responses!Q54),Responses!Q54=1),1,0)</f>
        <v>1</v>
      </c>
      <c r="I53" s="6" t="n">
        <f aca="false">IF(AND(ISNUMBER(Responses!Q44),Responses!Q44=0.5),1,0)+IF(AND(ISNUMBER(Responses!Q54),Responses!Q54=0.5),1,0)</f>
        <v>0</v>
      </c>
      <c r="J53" s="6" t="n">
        <f aca="false">IF(AND(ISNUMBER(Responses!Q44),Responses!Q44=0),1,0)+IF(AND(ISNUMBER(Responses!Q54),Responses!Q54=0),1,0)</f>
        <v>1</v>
      </c>
      <c r="K53" s="6" t="n">
        <f aca="false">F53-G53</f>
        <v>0</v>
      </c>
      <c r="L53" s="7" t="n">
        <f aca="false">IF(G53=0,"",(H53+I53*0.5)/G53)</f>
        <v>0.5</v>
      </c>
    </row>
    <row r="54" customFormat="false" ht="29" hidden="false" customHeight="true" outlineLevel="0" collapsed="false">
      <c r="A54" s="4" t="s">
        <v>125</v>
      </c>
      <c r="B54" s="4" t="s">
        <v>72</v>
      </c>
      <c r="C54" s="4" t="s">
        <v>77</v>
      </c>
      <c r="D54" s="4" t="s">
        <v>128</v>
      </c>
      <c r="E54" s="4" t="n">
        <v>2</v>
      </c>
      <c r="F54" s="6" t="n">
        <f aca="false">IF(Responses!I44="Include",1,0)+IF(Responses!I54="Include",1,0)</f>
        <v>2</v>
      </c>
      <c r="G54" s="6" t="n">
        <f aca="false">IF(ISNUMBER(Responses!R44),1,0)+IF(ISNUMBER(Responses!R54),1,0)</f>
        <v>2</v>
      </c>
      <c r="H54" s="6" t="n">
        <f aca="false">IF(AND(ISNUMBER(Responses!R44),Responses!R44=1),1,0)+IF(AND(ISNUMBER(Responses!R54),Responses!R54=1),1,0)</f>
        <v>1</v>
      </c>
      <c r="I54" s="6" t="n">
        <f aca="false">IF(AND(ISNUMBER(Responses!R44),Responses!R44=0.5),1,0)+IF(AND(ISNUMBER(Responses!R54),Responses!R54=0.5),1,0)</f>
        <v>0</v>
      </c>
      <c r="J54" s="6" t="n">
        <f aca="false">IF(AND(ISNUMBER(Responses!R44),Responses!R44=0),1,0)+IF(AND(ISNUMBER(Responses!R54),Responses!R54=0),1,0)</f>
        <v>1</v>
      </c>
      <c r="K54" s="6" t="n">
        <f aca="false">F54-G54</f>
        <v>0</v>
      </c>
      <c r="L54" s="7" t="n">
        <f aca="false">IF(G54=0,"",(H54+I54*0.5)/G54)</f>
        <v>0.5</v>
      </c>
    </row>
    <row r="55" customFormat="false" ht="29" hidden="false" customHeight="true" outlineLevel="0" collapsed="false">
      <c r="A55" s="4" t="s">
        <v>125</v>
      </c>
      <c r="B55" s="4" t="s">
        <v>73</v>
      </c>
      <c r="C55" s="4" t="s">
        <v>88</v>
      </c>
      <c r="D55" s="4" t="s">
        <v>126</v>
      </c>
      <c r="E55" s="4" t="n">
        <v>2</v>
      </c>
      <c r="F55" s="6" t="n">
        <f aca="false">IF(Responses!I61="Include",1,0)+IF(Responses!I67="Include",1,0)</f>
        <v>2</v>
      </c>
      <c r="G55" s="6" t="n">
        <f aca="false">IF(ISNUMBER(Responses!P61),1,0)+IF(ISNUMBER(Responses!P67),1,0)</f>
        <v>2</v>
      </c>
      <c r="H55" s="6" t="n">
        <f aca="false">IF(AND(ISNUMBER(Responses!P61),Responses!P61=1),1,0)+IF(AND(ISNUMBER(Responses!P67),Responses!P67=1),1,0)</f>
        <v>2</v>
      </c>
      <c r="I55" s="6" t="n">
        <f aca="false">IF(AND(ISNUMBER(Responses!P61),Responses!P61=0.5),1,0)+IF(AND(ISNUMBER(Responses!P67),Responses!P67=0.5),1,0)</f>
        <v>0</v>
      </c>
      <c r="J55" s="6" t="n">
        <f aca="false">IF(AND(ISNUMBER(Responses!P61),Responses!P61=0),1,0)+IF(AND(ISNUMBER(Responses!P67),Responses!P67=0),1,0)</f>
        <v>0</v>
      </c>
      <c r="K55" s="6" t="n">
        <f aca="false">F55-G55</f>
        <v>0</v>
      </c>
      <c r="L55" s="7" t="n">
        <f aca="false">IF(G55=0,"",(H55+I55*0.5)/G55)</f>
        <v>1</v>
      </c>
    </row>
    <row r="56" customFormat="false" ht="29" hidden="false" customHeight="true" outlineLevel="0" collapsed="false">
      <c r="A56" s="4" t="s">
        <v>125</v>
      </c>
      <c r="B56" s="4" t="s">
        <v>73</v>
      </c>
      <c r="C56" s="4" t="s">
        <v>88</v>
      </c>
      <c r="D56" s="4" t="s">
        <v>127</v>
      </c>
      <c r="E56" s="4" t="n">
        <v>2</v>
      </c>
      <c r="F56" s="6" t="n">
        <f aca="false">IF(Responses!I61="Include",1,0)+IF(Responses!I67="Include",1,0)</f>
        <v>2</v>
      </c>
      <c r="G56" s="6" t="n">
        <f aca="false">IF(ISNUMBER(Responses!Q61),1,0)+IF(ISNUMBER(Responses!Q67),1,0)</f>
        <v>2</v>
      </c>
      <c r="H56" s="6" t="n">
        <f aca="false">IF(AND(ISNUMBER(Responses!Q61),Responses!Q61=1),1,0)+IF(AND(ISNUMBER(Responses!Q67),Responses!Q67=1),1,0)</f>
        <v>0</v>
      </c>
      <c r="I56" s="6" t="n">
        <f aca="false">IF(AND(ISNUMBER(Responses!Q61),Responses!Q61=0.5),1,0)+IF(AND(ISNUMBER(Responses!Q67),Responses!Q67=0.5),1,0)</f>
        <v>0</v>
      </c>
      <c r="J56" s="6" t="n">
        <f aca="false">IF(AND(ISNUMBER(Responses!Q61),Responses!Q61=0),1,0)+IF(AND(ISNUMBER(Responses!Q67),Responses!Q67=0),1,0)</f>
        <v>2</v>
      </c>
      <c r="K56" s="6" t="n">
        <f aca="false">F56-G56</f>
        <v>0</v>
      </c>
      <c r="L56" s="7" t="n">
        <f aca="false">IF(G56=0,"",(H56+I56*0.5)/G56)</f>
        <v>0</v>
      </c>
    </row>
    <row r="57" customFormat="false" ht="29" hidden="false" customHeight="true" outlineLevel="0" collapsed="false">
      <c r="A57" s="4" t="s">
        <v>125</v>
      </c>
      <c r="B57" s="4" t="s">
        <v>73</v>
      </c>
      <c r="C57" s="4" t="s">
        <v>88</v>
      </c>
      <c r="D57" s="4" t="s">
        <v>128</v>
      </c>
      <c r="E57" s="4" t="n">
        <v>2</v>
      </c>
      <c r="F57" s="6" t="n">
        <f aca="false">IF(Responses!I61="Include",1,0)+IF(Responses!I67="Include",1,0)</f>
        <v>2</v>
      </c>
      <c r="G57" s="6" t="n">
        <f aca="false">IF(ISNUMBER(Responses!R61),1,0)+IF(ISNUMBER(Responses!R67),1,0)</f>
        <v>2</v>
      </c>
      <c r="H57" s="6" t="n">
        <f aca="false">IF(AND(ISNUMBER(Responses!R61),Responses!R61=1),1,0)+IF(AND(ISNUMBER(Responses!R67),Responses!R67=1),1,0)</f>
        <v>1</v>
      </c>
      <c r="I57" s="6" t="n">
        <f aca="false">IF(AND(ISNUMBER(Responses!R61),Responses!R61=0.5),1,0)+IF(AND(ISNUMBER(Responses!R67),Responses!R67=0.5),1,0)</f>
        <v>0</v>
      </c>
      <c r="J57" s="6" t="n">
        <f aca="false">IF(AND(ISNUMBER(Responses!R61),Responses!R61=0),1,0)+IF(AND(ISNUMBER(Responses!R67),Responses!R67=0),1,0)</f>
        <v>1</v>
      </c>
      <c r="K57" s="6" t="n">
        <f aca="false">F57-G57</f>
        <v>0</v>
      </c>
      <c r="L57" s="7" t="n">
        <f aca="false">IF(G57=0,"",(H57+I57*0.5)/G57)</f>
        <v>0.5</v>
      </c>
    </row>
    <row r="58" customFormat="false" ht="29" hidden="false" customHeight="true" outlineLevel="0" collapsed="false">
      <c r="A58" s="4" t="s">
        <v>125</v>
      </c>
      <c r="B58" s="4" t="s">
        <v>85</v>
      </c>
      <c r="C58" s="4" t="s">
        <v>76</v>
      </c>
      <c r="D58" s="4" t="s">
        <v>126</v>
      </c>
      <c r="E58" s="4" t="n">
        <v>2</v>
      </c>
      <c r="F58" s="6" t="n">
        <f aca="false">IF(Responses!I49="Include",1,0)+IF(Responses!I56="Include",1,0)</f>
        <v>2</v>
      </c>
      <c r="G58" s="6" t="n">
        <f aca="false">IF(ISNUMBER(Responses!P49),1,0)+IF(ISNUMBER(Responses!P56),1,0)</f>
        <v>2</v>
      </c>
      <c r="H58" s="6" t="n">
        <f aca="false">IF(AND(ISNUMBER(Responses!P49),Responses!P49=1),1,0)+IF(AND(ISNUMBER(Responses!P56),Responses!P56=1),1,0)</f>
        <v>0</v>
      </c>
      <c r="I58" s="6" t="n">
        <f aca="false">IF(AND(ISNUMBER(Responses!P49),Responses!P49=0.5),1,0)+IF(AND(ISNUMBER(Responses!P56),Responses!P56=0.5),1,0)</f>
        <v>0</v>
      </c>
      <c r="J58" s="6" t="n">
        <f aca="false">IF(AND(ISNUMBER(Responses!P49),Responses!P49=0),1,0)+IF(AND(ISNUMBER(Responses!P56),Responses!P56=0),1,0)</f>
        <v>2</v>
      </c>
      <c r="K58" s="6" t="n">
        <f aca="false">F58-G58</f>
        <v>0</v>
      </c>
      <c r="L58" s="7" t="n">
        <f aca="false">IF(G58=0,"",(H58+I58*0.5)/G58)</f>
        <v>0</v>
      </c>
    </row>
    <row r="59" customFormat="false" ht="29" hidden="false" customHeight="true" outlineLevel="0" collapsed="false">
      <c r="A59" s="4" t="s">
        <v>125</v>
      </c>
      <c r="B59" s="4" t="s">
        <v>85</v>
      </c>
      <c r="C59" s="4" t="s">
        <v>76</v>
      </c>
      <c r="D59" s="4" t="s">
        <v>127</v>
      </c>
      <c r="E59" s="4" t="n">
        <v>2</v>
      </c>
      <c r="F59" s="6" t="n">
        <f aca="false">IF(Responses!I49="Include",1,0)+IF(Responses!I56="Include",1,0)</f>
        <v>2</v>
      </c>
      <c r="G59" s="6" t="n">
        <f aca="false">IF(ISNUMBER(Responses!Q49),1,0)+IF(ISNUMBER(Responses!Q56),1,0)</f>
        <v>2</v>
      </c>
      <c r="H59" s="6" t="n">
        <f aca="false">IF(AND(ISNUMBER(Responses!Q49),Responses!Q49=1),1,0)+IF(AND(ISNUMBER(Responses!Q56),Responses!Q56=1),1,0)</f>
        <v>0</v>
      </c>
      <c r="I59" s="6" t="n">
        <f aca="false">IF(AND(ISNUMBER(Responses!Q49),Responses!Q49=0.5),1,0)+IF(AND(ISNUMBER(Responses!Q56),Responses!Q56=0.5),1,0)</f>
        <v>0</v>
      </c>
      <c r="J59" s="6" t="n">
        <f aca="false">IF(AND(ISNUMBER(Responses!Q49),Responses!Q49=0),1,0)+IF(AND(ISNUMBER(Responses!Q56),Responses!Q56=0),1,0)</f>
        <v>2</v>
      </c>
      <c r="K59" s="6" t="n">
        <f aca="false">F59-G59</f>
        <v>0</v>
      </c>
      <c r="L59" s="7" t="n">
        <f aca="false">IF(G59=0,"",(H59+I59*0.5)/G59)</f>
        <v>0</v>
      </c>
    </row>
    <row r="60" customFormat="false" ht="29" hidden="false" customHeight="true" outlineLevel="0" collapsed="false">
      <c r="A60" s="4" t="s">
        <v>125</v>
      </c>
      <c r="B60" s="4" t="s">
        <v>85</v>
      </c>
      <c r="C60" s="4" t="s">
        <v>76</v>
      </c>
      <c r="D60" s="4" t="s">
        <v>128</v>
      </c>
      <c r="E60" s="4" t="n">
        <v>2</v>
      </c>
      <c r="F60" s="6" t="n">
        <f aca="false">IF(Responses!I49="Include",1,0)+IF(Responses!I56="Include",1,0)</f>
        <v>2</v>
      </c>
      <c r="G60" s="6" t="n">
        <f aca="false">IF(ISNUMBER(Responses!R49),1,0)+IF(ISNUMBER(Responses!R56),1,0)</f>
        <v>2</v>
      </c>
      <c r="H60" s="6" t="n">
        <f aca="false">IF(AND(ISNUMBER(Responses!R49),Responses!R49=1),1,0)+IF(AND(ISNUMBER(Responses!R56),Responses!R56=1),1,0)</f>
        <v>0</v>
      </c>
      <c r="I60" s="6" t="n">
        <f aca="false">IF(AND(ISNUMBER(Responses!R49),Responses!R49=0.5),1,0)+IF(AND(ISNUMBER(Responses!R56),Responses!R56=0.5),1,0)</f>
        <v>0</v>
      </c>
      <c r="J60" s="6" t="n">
        <f aca="false">IF(AND(ISNUMBER(Responses!R49),Responses!R49=0),1,0)+IF(AND(ISNUMBER(Responses!R56),Responses!R56=0),1,0)</f>
        <v>2</v>
      </c>
      <c r="K60" s="6" t="n">
        <f aca="false">F60-G60</f>
        <v>0</v>
      </c>
      <c r="L60" s="7" t="n">
        <f aca="false">IF(G60=0,"",(H60+I60*0.5)/G60)</f>
        <v>0</v>
      </c>
    </row>
    <row r="61" customFormat="false" ht="29" hidden="false" customHeight="true" outlineLevel="0" collapsed="false">
      <c r="A61" s="4" t="s">
        <v>125</v>
      </c>
      <c r="B61" s="4" t="s">
        <v>76</v>
      </c>
      <c r="C61" s="4" t="s">
        <v>77</v>
      </c>
      <c r="D61" s="4" t="s">
        <v>126</v>
      </c>
      <c r="E61" s="4" t="n">
        <v>2</v>
      </c>
      <c r="F61" s="6" t="n">
        <f aca="false">IF(Responses!I8="Include",1,0)+IF(Responses!I16="Include",1,0)</f>
        <v>2</v>
      </c>
      <c r="G61" s="6" t="n">
        <f aca="false">IF(ISNUMBER(Responses!P8),1,0)+IF(ISNUMBER(Responses!P16),1,0)</f>
        <v>2</v>
      </c>
      <c r="H61" s="6" t="n">
        <f aca="false">IF(AND(ISNUMBER(Responses!P8),Responses!P8=1),1,0)+IF(AND(ISNUMBER(Responses!P16),Responses!P16=1),1,0)</f>
        <v>1</v>
      </c>
      <c r="I61" s="6" t="n">
        <f aca="false">IF(AND(ISNUMBER(Responses!P8),Responses!P8=0.5),1,0)+IF(AND(ISNUMBER(Responses!P16),Responses!P16=0.5),1,0)</f>
        <v>0</v>
      </c>
      <c r="J61" s="6" t="n">
        <f aca="false">IF(AND(ISNUMBER(Responses!P8),Responses!P8=0),1,0)+IF(AND(ISNUMBER(Responses!P16),Responses!P16=0),1,0)</f>
        <v>1</v>
      </c>
      <c r="K61" s="6" t="n">
        <f aca="false">F61-G61</f>
        <v>0</v>
      </c>
      <c r="L61" s="7" t="n">
        <f aca="false">IF(G61=0,"",(H61+I61*0.5)/G61)</f>
        <v>0.5</v>
      </c>
    </row>
    <row r="62" customFormat="false" ht="29" hidden="false" customHeight="true" outlineLevel="0" collapsed="false">
      <c r="A62" s="4" t="s">
        <v>125</v>
      </c>
      <c r="B62" s="4" t="s">
        <v>76</v>
      </c>
      <c r="C62" s="4" t="s">
        <v>77</v>
      </c>
      <c r="D62" s="4" t="s">
        <v>127</v>
      </c>
      <c r="E62" s="4" t="n">
        <v>2</v>
      </c>
      <c r="F62" s="6" t="n">
        <f aca="false">IF(Responses!I8="Include",1,0)+IF(Responses!I16="Include",1,0)</f>
        <v>2</v>
      </c>
      <c r="G62" s="6" t="n">
        <f aca="false">IF(ISNUMBER(Responses!Q8),1,0)+IF(ISNUMBER(Responses!Q16),1,0)</f>
        <v>2</v>
      </c>
      <c r="H62" s="6" t="n">
        <f aca="false">IF(AND(ISNUMBER(Responses!Q8),Responses!Q8=1),1,0)+IF(AND(ISNUMBER(Responses!Q16),Responses!Q16=1),1,0)</f>
        <v>1</v>
      </c>
      <c r="I62" s="6" t="n">
        <f aca="false">IF(AND(ISNUMBER(Responses!Q8),Responses!Q8=0.5),1,0)+IF(AND(ISNUMBER(Responses!Q16),Responses!Q16=0.5),1,0)</f>
        <v>0</v>
      </c>
      <c r="J62" s="6" t="n">
        <f aca="false">IF(AND(ISNUMBER(Responses!Q8),Responses!Q8=0),1,0)+IF(AND(ISNUMBER(Responses!Q16),Responses!Q16=0),1,0)</f>
        <v>1</v>
      </c>
      <c r="K62" s="6" t="n">
        <f aca="false">F62-G62</f>
        <v>0</v>
      </c>
      <c r="L62" s="7" t="n">
        <f aca="false">IF(G62=0,"",(H62+I62*0.5)/G62)</f>
        <v>0.5</v>
      </c>
    </row>
    <row r="63" customFormat="false" ht="29" hidden="false" customHeight="true" outlineLevel="0" collapsed="false">
      <c r="A63" s="4" t="s">
        <v>125</v>
      </c>
      <c r="B63" s="4" t="s">
        <v>76</v>
      </c>
      <c r="C63" s="4" t="s">
        <v>77</v>
      </c>
      <c r="D63" s="4" t="s">
        <v>128</v>
      </c>
      <c r="E63" s="4" t="n">
        <v>2</v>
      </c>
      <c r="F63" s="6" t="n">
        <f aca="false">IF(Responses!I8="Include",1,0)+IF(Responses!I16="Include",1,0)</f>
        <v>2</v>
      </c>
      <c r="G63" s="6" t="n">
        <f aca="false">IF(ISNUMBER(Responses!R8),1,0)+IF(ISNUMBER(Responses!R16),1,0)</f>
        <v>2</v>
      </c>
      <c r="H63" s="6" t="n">
        <f aca="false">IF(AND(ISNUMBER(Responses!R8),Responses!R8=1),1,0)+IF(AND(ISNUMBER(Responses!R16),Responses!R16=1),1,0)</f>
        <v>2</v>
      </c>
      <c r="I63" s="6" t="n">
        <f aca="false">IF(AND(ISNUMBER(Responses!R8),Responses!R8=0.5),1,0)+IF(AND(ISNUMBER(Responses!R16),Responses!R16=0.5),1,0)</f>
        <v>0</v>
      </c>
      <c r="J63" s="6" t="n">
        <f aca="false">IF(AND(ISNUMBER(Responses!R8),Responses!R8=0),1,0)+IF(AND(ISNUMBER(Responses!R16),Responses!R16=0),1,0)</f>
        <v>0</v>
      </c>
      <c r="K63" s="6" t="n">
        <f aca="false">F63-G63</f>
        <v>0</v>
      </c>
      <c r="L63" s="7" t="n">
        <f aca="false">IF(G63=0,"",(H63+I63*0.5)/G63)</f>
        <v>1</v>
      </c>
    </row>
    <row r="64" customFormat="false" ht="29" hidden="false" customHeight="true" outlineLevel="0" collapsed="false">
      <c r="A64" s="4" t="s">
        <v>125</v>
      </c>
      <c r="B64" s="4" t="s">
        <v>72</v>
      </c>
      <c r="C64" s="4" t="s">
        <v>88</v>
      </c>
      <c r="D64" s="4" t="s">
        <v>126</v>
      </c>
      <c r="E64" s="4" t="n">
        <v>2</v>
      </c>
      <c r="F64" s="6" t="n">
        <f aca="false">IF(Responses!I51="Include",1,0)+IF(Responses!I60="Include",1,0)</f>
        <v>2</v>
      </c>
      <c r="G64" s="6" t="n">
        <f aca="false">IF(ISNUMBER(Responses!P51),1,0)+IF(ISNUMBER(Responses!P60),1,0)</f>
        <v>2</v>
      </c>
      <c r="H64" s="6" t="n">
        <f aca="false">IF(AND(ISNUMBER(Responses!P51),Responses!P51=1),1,0)+IF(AND(ISNUMBER(Responses!P60),Responses!P60=1),1,0)</f>
        <v>2</v>
      </c>
      <c r="I64" s="6" t="n">
        <f aca="false">IF(AND(ISNUMBER(Responses!P51),Responses!P51=0.5),1,0)+IF(AND(ISNUMBER(Responses!P60),Responses!P60=0.5),1,0)</f>
        <v>0</v>
      </c>
      <c r="J64" s="6" t="n">
        <f aca="false">IF(AND(ISNUMBER(Responses!P51),Responses!P51=0),1,0)+IF(AND(ISNUMBER(Responses!P60),Responses!P60=0),1,0)</f>
        <v>0</v>
      </c>
      <c r="K64" s="6" t="n">
        <f aca="false">F64-G64</f>
        <v>0</v>
      </c>
      <c r="L64" s="7" t="n">
        <f aca="false">IF(G64=0,"",(H64+I64*0.5)/G64)</f>
        <v>1</v>
      </c>
    </row>
    <row r="65" customFormat="false" ht="29" hidden="false" customHeight="true" outlineLevel="0" collapsed="false">
      <c r="A65" s="4" t="s">
        <v>125</v>
      </c>
      <c r="B65" s="4" t="s">
        <v>72</v>
      </c>
      <c r="C65" s="4" t="s">
        <v>88</v>
      </c>
      <c r="D65" s="4" t="s">
        <v>127</v>
      </c>
      <c r="E65" s="4" t="n">
        <v>2</v>
      </c>
      <c r="F65" s="6" t="n">
        <f aca="false">IF(Responses!I51="Include",1,0)+IF(Responses!I60="Include",1,0)</f>
        <v>2</v>
      </c>
      <c r="G65" s="6" t="n">
        <f aca="false">IF(ISNUMBER(Responses!Q51),1,0)+IF(ISNUMBER(Responses!Q60),1,0)</f>
        <v>2</v>
      </c>
      <c r="H65" s="6" t="n">
        <f aca="false">IF(AND(ISNUMBER(Responses!Q51),Responses!Q51=1),1,0)+IF(AND(ISNUMBER(Responses!Q60),Responses!Q60=1),1,0)</f>
        <v>2</v>
      </c>
      <c r="I65" s="6" t="n">
        <f aca="false">IF(AND(ISNUMBER(Responses!Q51),Responses!Q51=0.5),1,0)+IF(AND(ISNUMBER(Responses!Q60),Responses!Q60=0.5),1,0)</f>
        <v>0</v>
      </c>
      <c r="J65" s="6" t="n">
        <f aca="false">IF(AND(ISNUMBER(Responses!Q51),Responses!Q51=0),1,0)+IF(AND(ISNUMBER(Responses!Q60),Responses!Q60=0),1,0)</f>
        <v>0</v>
      </c>
      <c r="K65" s="6" t="n">
        <f aca="false">F65-G65</f>
        <v>0</v>
      </c>
      <c r="L65" s="7" t="n">
        <f aca="false">IF(G65=0,"",(H65+I65*0.5)/G65)</f>
        <v>1</v>
      </c>
    </row>
    <row r="66" customFormat="false" ht="29" hidden="false" customHeight="true" outlineLevel="0" collapsed="false">
      <c r="A66" s="4" t="s">
        <v>125</v>
      </c>
      <c r="B66" s="4" t="s">
        <v>72</v>
      </c>
      <c r="C66" s="4" t="s">
        <v>88</v>
      </c>
      <c r="D66" s="4" t="s">
        <v>128</v>
      </c>
      <c r="E66" s="4" t="n">
        <v>2</v>
      </c>
      <c r="F66" s="6" t="n">
        <f aca="false">IF(Responses!I51="Include",1,0)+IF(Responses!I60="Include",1,0)</f>
        <v>2</v>
      </c>
      <c r="G66" s="6" t="n">
        <f aca="false">IF(ISNUMBER(Responses!R51),1,0)+IF(ISNUMBER(Responses!R60),1,0)</f>
        <v>2</v>
      </c>
      <c r="H66" s="6" t="n">
        <f aca="false">IF(AND(ISNUMBER(Responses!R51),Responses!R51=1),1,0)+IF(AND(ISNUMBER(Responses!R60),Responses!R60=1),1,0)</f>
        <v>2</v>
      </c>
      <c r="I66" s="6" t="n">
        <f aca="false">IF(AND(ISNUMBER(Responses!R51),Responses!R51=0.5),1,0)+IF(AND(ISNUMBER(Responses!R60),Responses!R60=0.5),1,0)</f>
        <v>0</v>
      </c>
      <c r="J66" s="6" t="n">
        <f aca="false">IF(AND(ISNUMBER(Responses!R51),Responses!R51=0),1,0)+IF(AND(ISNUMBER(Responses!R60),Responses!R60=0),1,0)</f>
        <v>0</v>
      </c>
      <c r="K66" s="6" t="n">
        <f aca="false">F66-G66</f>
        <v>0</v>
      </c>
      <c r="L66" s="7" t="n">
        <f aca="false">IF(G66=0,"",(H66+I66*0.5)/G66)</f>
        <v>1</v>
      </c>
    </row>
    <row r="67" customFormat="false" ht="29" hidden="false" customHeight="true" outlineLevel="0" collapsed="false">
      <c r="A67" s="4" t="s">
        <v>125</v>
      </c>
      <c r="B67" s="4" t="s">
        <v>73</v>
      </c>
      <c r="C67" s="4" t="s">
        <v>77</v>
      </c>
      <c r="D67" s="4" t="s">
        <v>126</v>
      </c>
      <c r="E67" s="4" t="n">
        <v>2</v>
      </c>
      <c r="F67" s="6" t="n">
        <f aca="false">IF(Responses!I25="Include",1,0)+IF(Responses!I33="Include",1,0)</f>
        <v>1</v>
      </c>
      <c r="G67" s="6" t="n">
        <f aca="false">IF(ISNUMBER(Responses!P25),1,0)+IF(ISNUMBER(Responses!P33),1,0)</f>
        <v>1</v>
      </c>
      <c r="H67" s="6" t="n">
        <f aca="false">IF(AND(ISNUMBER(Responses!P25),Responses!P25=1),1,0)+IF(AND(ISNUMBER(Responses!P33),Responses!P33=1),1,0)</f>
        <v>0</v>
      </c>
      <c r="I67" s="6" t="n">
        <f aca="false">IF(AND(ISNUMBER(Responses!P25),Responses!P25=0.5),1,0)+IF(AND(ISNUMBER(Responses!P33),Responses!P33=0.5),1,0)</f>
        <v>0</v>
      </c>
      <c r="J67" s="6" t="n">
        <f aca="false">IF(AND(ISNUMBER(Responses!P25),Responses!P25=0),1,0)+IF(AND(ISNUMBER(Responses!P33),Responses!P33=0),1,0)</f>
        <v>1</v>
      </c>
      <c r="K67" s="6" t="n">
        <f aca="false">F67-G67</f>
        <v>0</v>
      </c>
      <c r="L67" s="7" t="n">
        <f aca="false">IF(G67=0,"",(H67+I67*0.5)/G67)</f>
        <v>0</v>
      </c>
    </row>
    <row r="68" customFormat="false" ht="29" hidden="false" customHeight="true" outlineLevel="0" collapsed="false">
      <c r="A68" s="4" t="s">
        <v>125</v>
      </c>
      <c r="B68" s="4" t="s">
        <v>73</v>
      </c>
      <c r="C68" s="4" t="s">
        <v>77</v>
      </c>
      <c r="D68" s="4" t="s">
        <v>127</v>
      </c>
      <c r="E68" s="4" t="n">
        <v>2</v>
      </c>
      <c r="F68" s="6" t="n">
        <f aca="false">IF(Responses!I25="Include",1,0)+IF(Responses!I33="Include",1,0)</f>
        <v>1</v>
      </c>
      <c r="G68" s="6" t="n">
        <f aca="false">IF(ISNUMBER(Responses!Q25),1,0)+IF(ISNUMBER(Responses!Q33),1,0)</f>
        <v>1</v>
      </c>
      <c r="H68" s="6" t="n">
        <f aca="false">IF(AND(ISNUMBER(Responses!Q25),Responses!Q25=1),1,0)+IF(AND(ISNUMBER(Responses!Q33),Responses!Q33=1),1,0)</f>
        <v>0</v>
      </c>
      <c r="I68" s="6" t="n">
        <f aca="false">IF(AND(ISNUMBER(Responses!Q25),Responses!Q25=0.5),1,0)+IF(AND(ISNUMBER(Responses!Q33),Responses!Q33=0.5),1,0)</f>
        <v>0</v>
      </c>
      <c r="J68" s="6" t="n">
        <f aca="false">IF(AND(ISNUMBER(Responses!Q25),Responses!Q25=0),1,0)+IF(AND(ISNUMBER(Responses!Q33),Responses!Q33=0),1,0)</f>
        <v>1</v>
      </c>
      <c r="K68" s="6" t="n">
        <f aca="false">F68-G68</f>
        <v>0</v>
      </c>
      <c r="L68" s="7" t="n">
        <f aca="false">IF(G68=0,"",(H68+I68*0.5)/G68)</f>
        <v>0</v>
      </c>
    </row>
    <row r="69" customFormat="false" ht="29" hidden="false" customHeight="true" outlineLevel="0" collapsed="false">
      <c r="A69" s="4" t="s">
        <v>125</v>
      </c>
      <c r="B69" s="4" t="s">
        <v>73</v>
      </c>
      <c r="C69" s="4" t="s">
        <v>77</v>
      </c>
      <c r="D69" s="4" t="s">
        <v>128</v>
      </c>
      <c r="E69" s="4" t="n">
        <v>2</v>
      </c>
      <c r="F69" s="6" t="n">
        <f aca="false">IF(Responses!I25="Include",1,0)+IF(Responses!I33="Include",1,0)</f>
        <v>1</v>
      </c>
      <c r="G69" s="6" t="n">
        <f aca="false">IF(ISNUMBER(Responses!R25),1,0)+IF(ISNUMBER(Responses!R33),1,0)</f>
        <v>1</v>
      </c>
      <c r="H69" s="6" t="n">
        <f aca="false">IF(AND(ISNUMBER(Responses!R25),Responses!R25=1),1,0)+IF(AND(ISNUMBER(Responses!R33),Responses!R33=1),1,0)</f>
        <v>0</v>
      </c>
      <c r="I69" s="6" t="n">
        <f aca="false">IF(AND(ISNUMBER(Responses!R25),Responses!R25=0.5),1,0)+IF(AND(ISNUMBER(Responses!R33),Responses!R33=0.5),1,0)</f>
        <v>0</v>
      </c>
      <c r="J69" s="6" t="n">
        <f aca="false">IF(AND(ISNUMBER(Responses!R25),Responses!R25=0),1,0)+IF(AND(ISNUMBER(Responses!R33),Responses!R33=0),1,0)</f>
        <v>1</v>
      </c>
      <c r="K69" s="6" t="n">
        <f aca="false">F69-G69</f>
        <v>0</v>
      </c>
      <c r="L69" s="7" t="n">
        <f aca="false">IF(G69=0,"",(H69+I69*0.5)/G69)</f>
        <v>0</v>
      </c>
    </row>
  </sheetData>
  <sheetProtection sheet="true" objects="true" scenarios="true" formatColumns="false" formatRows="false" autoFilter="false"/>
  <autoFilter ref="A6:L69"/>
  <mergeCells count="2">
    <mergeCell ref="A1:L1"/>
    <mergeCell ref="A2:L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29" zeroHeight="false" outlineLevelRow="0" outlineLevelCol="0"/>
  <cols>
    <col collapsed="false" customWidth="true" hidden="false" outlineLevel="0" max="1" min="1" style="0" width="33.71"/>
    <col collapsed="false" customWidth="true" hidden="false" outlineLevel="0" max="3" min="2" style="0" width="27.72"/>
    <col collapsed="false" customWidth="true" hidden="false" outlineLevel="0" max="4" min="4" style="0" width="24.72"/>
    <col collapsed="false" customWidth="true" hidden="false" outlineLevel="0" max="12" min="5" style="0" width="14.71"/>
  </cols>
  <sheetData>
    <row r="1" customFormat="false" ht="36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" hidden="false" customHeight="true" outlineLevel="0" collapsed="false">
      <c r="A2" s="3" t="s">
        <v>116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9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9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40" hidden="false" customHeight="true" outlineLevel="0" collapsed="false">
      <c r="A6" s="2" t="s">
        <v>117</v>
      </c>
      <c r="B6" s="2" t="s">
        <v>62</v>
      </c>
      <c r="C6" s="2" t="s">
        <v>63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122</v>
      </c>
      <c r="I6" s="2" t="s">
        <v>98</v>
      </c>
      <c r="J6" s="2" t="s">
        <v>123</v>
      </c>
      <c r="K6" s="2" t="s">
        <v>69</v>
      </c>
      <c r="L6" s="2" t="s">
        <v>124</v>
      </c>
    </row>
    <row r="7" customFormat="false" ht="29" hidden="false" customHeight="true" outlineLevel="0" collapsed="false">
      <c r="A7" s="4" t="s">
        <v>130</v>
      </c>
      <c r="B7" s="4" t="s">
        <v>82</v>
      </c>
      <c r="C7" s="4" t="s">
        <v>81</v>
      </c>
      <c r="D7" s="4" t="s">
        <v>126</v>
      </c>
      <c r="E7" s="4" t="n">
        <v>2</v>
      </c>
      <c r="F7" s="6" t="n">
        <f aca="false">IF(Responses!I40="Include",1,0)+IF(Responses!I58="Include",1,0)</f>
        <v>2</v>
      </c>
      <c r="G7" s="6" t="n">
        <f aca="false">IF(ISNUMBER(Responses!P40),1,0)+IF(ISNUMBER(Responses!P58),1,0)</f>
        <v>2</v>
      </c>
      <c r="H7" s="6" t="n">
        <f aca="false">IF(AND(ISNUMBER(Responses!P40),Responses!P40=1),1,0)+IF(AND(ISNUMBER(Responses!P58),Responses!P58=1),1,0)</f>
        <v>1</v>
      </c>
      <c r="I7" s="6" t="n">
        <f aca="false">IF(AND(ISNUMBER(Responses!P40),Responses!P40=0.5),1,0)+IF(AND(ISNUMBER(Responses!P58),Responses!P58=0.5),1,0)</f>
        <v>0</v>
      </c>
      <c r="J7" s="6" t="n">
        <f aca="false">IF(AND(ISNUMBER(Responses!P40),Responses!P40=0),1,0)+IF(AND(ISNUMBER(Responses!P58),Responses!P58=0),1,0)</f>
        <v>1</v>
      </c>
      <c r="K7" s="6" t="n">
        <f aca="false">F7-G7</f>
        <v>0</v>
      </c>
      <c r="L7" s="7" t="n">
        <f aca="false">IF(G7=0,"",(H7+I7*0.5)/G7)</f>
        <v>0.5</v>
      </c>
    </row>
    <row r="8" customFormat="false" ht="29" hidden="false" customHeight="true" outlineLevel="0" collapsed="false">
      <c r="A8" s="4" t="s">
        <v>130</v>
      </c>
      <c r="B8" s="4" t="s">
        <v>82</v>
      </c>
      <c r="C8" s="4" t="s">
        <v>81</v>
      </c>
      <c r="D8" s="4" t="s">
        <v>131</v>
      </c>
      <c r="E8" s="4" t="n">
        <v>2</v>
      </c>
      <c r="F8" s="6" t="n">
        <f aca="false">IF(Responses!I40="Include",1,0)+IF(Responses!I58="Include",1,0)</f>
        <v>2</v>
      </c>
      <c r="G8" s="6" t="n">
        <f aca="false">IF(ISNUMBER(Responses!Q40),1,0)+IF(ISNUMBER(Responses!Q58),1,0)</f>
        <v>2</v>
      </c>
      <c r="H8" s="6" t="n">
        <f aca="false">IF(AND(ISNUMBER(Responses!Q40),Responses!Q40=1),1,0)+IF(AND(ISNUMBER(Responses!Q58),Responses!Q58=1),1,0)</f>
        <v>2</v>
      </c>
      <c r="I8" s="6" t="n">
        <f aca="false">IF(AND(ISNUMBER(Responses!Q40),Responses!Q40=0.5),1,0)+IF(AND(ISNUMBER(Responses!Q58),Responses!Q58=0.5),1,0)</f>
        <v>0</v>
      </c>
      <c r="J8" s="6" t="n">
        <f aca="false">IF(AND(ISNUMBER(Responses!Q40),Responses!Q40=0),1,0)+IF(AND(ISNUMBER(Responses!Q58),Responses!Q58=0),1,0)</f>
        <v>0</v>
      </c>
      <c r="K8" s="6" t="n">
        <f aca="false">F8-G8</f>
        <v>0</v>
      </c>
      <c r="L8" s="7" t="n">
        <f aca="false">IF(G8=0,"",(H8+I8*0.5)/G8)</f>
        <v>1</v>
      </c>
    </row>
    <row r="9" customFormat="false" ht="29" hidden="false" customHeight="true" outlineLevel="0" collapsed="false">
      <c r="A9" s="4" t="s">
        <v>130</v>
      </c>
      <c r="B9" s="4" t="s">
        <v>82</v>
      </c>
      <c r="C9" s="4" t="s">
        <v>81</v>
      </c>
      <c r="D9" s="4" t="s">
        <v>132</v>
      </c>
      <c r="E9" s="4" t="n">
        <v>2</v>
      </c>
      <c r="F9" s="6" t="n">
        <f aca="false">IF(Responses!I40="Include",1,0)+IF(Responses!I58="Include",1,0)</f>
        <v>2</v>
      </c>
      <c r="G9" s="6" t="n">
        <f aca="false">IF(ISNUMBER(Responses!R40),1,0)+IF(ISNUMBER(Responses!R58),1,0)</f>
        <v>2</v>
      </c>
      <c r="H9" s="6" t="n">
        <f aca="false">IF(AND(ISNUMBER(Responses!R40),Responses!R40=1),1,0)+IF(AND(ISNUMBER(Responses!R58),Responses!R58=1),1,0)</f>
        <v>2</v>
      </c>
      <c r="I9" s="6" t="n">
        <f aca="false">IF(AND(ISNUMBER(Responses!R40),Responses!R40=0.5),1,0)+IF(AND(ISNUMBER(Responses!R58),Responses!R58=0.5),1,0)</f>
        <v>0</v>
      </c>
      <c r="J9" s="6" t="n">
        <f aca="false">IF(AND(ISNUMBER(Responses!R40),Responses!R40=0),1,0)+IF(AND(ISNUMBER(Responses!R58),Responses!R58=0),1,0)</f>
        <v>0</v>
      </c>
      <c r="K9" s="6" t="n">
        <f aca="false">F9-G9</f>
        <v>0</v>
      </c>
      <c r="L9" s="7" t="n">
        <f aca="false">IF(G9=0,"",(H9+I9*0.5)/G9)</f>
        <v>1</v>
      </c>
    </row>
    <row r="10" customFormat="false" ht="29" hidden="false" customHeight="true" outlineLevel="0" collapsed="false">
      <c r="A10" s="4" t="s">
        <v>133</v>
      </c>
      <c r="B10" s="4" t="s">
        <v>82</v>
      </c>
      <c r="C10" s="4" t="s">
        <v>81</v>
      </c>
      <c r="D10" s="4" t="s">
        <v>126</v>
      </c>
      <c r="E10" s="4" t="n">
        <v>4</v>
      </c>
      <c r="F10" s="6" t="n">
        <f aca="false">IF(Responses!I22="Include",1,0)+IF(Responses!I32="Include",1,0)+IF(Responses!I37="Include",1,0)+IF(Responses!I48="Include",1,0)</f>
        <v>4</v>
      </c>
      <c r="G10" s="6" t="n">
        <f aca="false">IF(ISNUMBER(Responses!P22),1,0)+IF(ISNUMBER(Responses!P32),1,0)+IF(ISNUMBER(Responses!P37),1,0)+IF(ISNUMBER(Responses!P48),1,0)</f>
        <v>4</v>
      </c>
      <c r="H10" s="6" t="n">
        <f aca="false">IF(AND(ISNUMBER(Responses!P22),Responses!P22=1),1,0)+IF(AND(ISNUMBER(Responses!P32),Responses!P32=1),1,0)+IF(AND(ISNUMBER(Responses!P37),Responses!P37=1),1,0)+IF(AND(ISNUMBER(Responses!P48),Responses!P48=1),1,0)</f>
        <v>0</v>
      </c>
      <c r="I10" s="6" t="n">
        <f aca="false">IF(AND(ISNUMBER(Responses!P22),Responses!P22=0.5),1,0)+IF(AND(ISNUMBER(Responses!P32),Responses!P32=0.5),1,0)+IF(AND(ISNUMBER(Responses!P37),Responses!P37=0.5),1,0)+IF(AND(ISNUMBER(Responses!P48),Responses!P48=0.5),1,0)</f>
        <v>0</v>
      </c>
      <c r="J10" s="6" t="n">
        <f aca="false">IF(AND(ISNUMBER(Responses!P22),Responses!P22=0),1,0)+IF(AND(ISNUMBER(Responses!P32),Responses!P32=0),1,0)+IF(AND(ISNUMBER(Responses!P37),Responses!P37=0),1,0)+IF(AND(ISNUMBER(Responses!P48),Responses!P48=0),1,0)</f>
        <v>4</v>
      </c>
      <c r="K10" s="6" t="n">
        <f aca="false">F10-G10</f>
        <v>0</v>
      </c>
      <c r="L10" s="7" t="n">
        <f aca="false">IF(G10=0,"",(H10+I10*0.5)/G10)</f>
        <v>0</v>
      </c>
    </row>
    <row r="11" customFormat="false" ht="29" hidden="false" customHeight="true" outlineLevel="0" collapsed="false">
      <c r="A11" s="4" t="s">
        <v>133</v>
      </c>
      <c r="B11" s="4" t="s">
        <v>82</v>
      </c>
      <c r="C11" s="4" t="s">
        <v>81</v>
      </c>
      <c r="D11" s="4" t="s">
        <v>131</v>
      </c>
      <c r="E11" s="4" t="n">
        <v>4</v>
      </c>
      <c r="F11" s="6" t="n">
        <f aca="false">IF(Responses!I22="Include",1,0)+IF(Responses!I32="Include",1,0)+IF(Responses!I37="Include",1,0)+IF(Responses!I48="Include",1,0)</f>
        <v>4</v>
      </c>
      <c r="G11" s="6" t="n">
        <f aca="false">IF(ISNUMBER(Responses!Q22),1,0)+IF(ISNUMBER(Responses!Q32),1,0)+IF(ISNUMBER(Responses!Q37),1,0)+IF(ISNUMBER(Responses!Q48),1,0)</f>
        <v>4</v>
      </c>
      <c r="H11" s="6" t="n">
        <f aca="false">IF(AND(ISNUMBER(Responses!Q22),Responses!Q22=1),1,0)+IF(AND(ISNUMBER(Responses!Q32),Responses!Q32=1),1,0)+IF(AND(ISNUMBER(Responses!Q37),Responses!Q37=1),1,0)+IF(AND(ISNUMBER(Responses!Q48),Responses!Q48=1),1,0)</f>
        <v>4</v>
      </c>
      <c r="I11" s="6" t="n">
        <f aca="false">IF(AND(ISNUMBER(Responses!Q22),Responses!Q22=0.5),1,0)+IF(AND(ISNUMBER(Responses!Q32),Responses!Q32=0.5),1,0)+IF(AND(ISNUMBER(Responses!Q37),Responses!Q37=0.5),1,0)+IF(AND(ISNUMBER(Responses!Q48),Responses!Q48=0.5),1,0)</f>
        <v>0</v>
      </c>
      <c r="J11" s="6" t="n">
        <f aca="false">IF(AND(ISNUMBER(Responses!Q22),Responses!Q22=0),1,0)+IF(AND(ISNUMBER(Responses!Q32),Responses!Q32=0),1,0)+IF(AND(ISNUMBER(Responses!Q37),Responses!Q37=0),1,0)+IF(AND(ISNUMBER(Responses!Q48),Responses!Q48=0),1,0)</f>
        <v>0</v>
      </c>
      <c r="K11" s="6" t="n">
        <f aca="false">F11-G11</f>
        <v>0</v>
      </c>
      <c r="L11" s="7" t="n">
        <f aca="false">IF(G11=0,"",(H11+I11*0.5)/G11)</f>
        <v>1</v>
      </c>
    </row>
    <row r="12" customFormat="false" ht="29" hidden="false" customHeight="true" outlineLevel="0" collapsed="false">
      <c r="A12" s="4" t="s">
        <v>133</v>
      </c>
      <c r="B12" s="4" t="s">
        <v>82</v>
      </c>
      <c r="C12" s="4" t="s">
        <v>81</v>
      </c>
      <c r="D12" s="4" t="s">
        <v>132</v>
      </c>
      <c r="E12" s="4" t="n">
        <v>4</v>
      </c>
      <c r="F12" s="6" t="n">
        <f aca="false">IF(Responses!I22="Include",1,0)+IF(Responses!I32="Include",1,0)+IF(Responses!I37="Include",1,0)+IF(Responses!I48="Include",1,0)</f>
        <v>4</v>
      </c>
      <c r="G12" s="6" t="n">
        <f aca="false">IF(ISNUMBER(Responses!R22),1,0)+IF(ISNUMBER(Responses!R32),1,0)+IF(ISNUMBER(Responses!R37),1,0)+IF(ISNUMBER(Responses!R48),1,0)</f>
        <v>4</v>
      </c>
      <c r="H12" s="6" t="n">
        <f aca="false">IF(AND(ISNUMBER(Responses!R22),Responses!R22=1),1,0)+IF(AND(ISNUMBER(Responses!R32),Responses!R32=1),1,0)+IF(AND(ISNUMBER(Responses!R37),Responses!R37=1),1,0)+IF(AND(ISNUMBER(Responses!R48),Responses!R48=1),1,0)</f>
        <v>1</v>
      </c>
      <c r="I12" s="6" t="n">
        <f aca="false">IF(AND(ISNUMBER(Responses!R22),Responses!R22=0.5),1,0)+IF(AND(ISNUMBER(Responses!R32),Responses!R32=0.5),1,0)+IF(AND(ISNUMBER(Responses!R37),Responses!R37=0.5),1,0)+IF(AND(ISNUMBER(Responses!R48),Responses!R48=0.5),1,0)</f>
        <v>0</v>
      </c>
      <c r="J12" s="6" t="n">
        <f aca="false">IF(AND(ISNUMBER(Responses!R22),Responses!R22=0),1,0)+IF(AND(ISNUMBER(Responses!R32),Responses!R32=0),1,0)+IF(AND(ISNUMBER(Responses!R37),Responses!R37=0),1,0)+IF(AND(ISNUMBER(Responses!R48),Responses!R48=0),1,0)</f>
        <v>3</v>
      </c>
      <c r="K12" s="6" t="n">
        <f aca="false">F12-G12</f>
        <v>0</v>
      </c>
      <c r="L12" s="7" t="n">
        <f aca="false">IF(G12=0,"",(H12+I12*0.5)/G12)</f>
        <v>0.25</v>
      </c>
    </row>
    <row r="13" customFormat="false" ht="29" hidden="false" customHeight="true" outlineLevel="0" collapsed="false">
      <c r="A13" s="4" t="s">
        <v>134</v>
      </c>
      <c r="B13" s="4" t="s">
        <v>82</v>
      </c>
      <c r="C13" s="4" t="s">
        <v>81</v>
      </c>
      <c r="D13" s="4" t="s">
        <v>126</v>
      </c>
      <c r="E13" s="4" t="n">
        <v>2</v>
      </c>
      <c r="F13" s="6" t="n">
        <f aca="false">IF(Responses!I9="Include",1,0)+IF(Responses!I53="Include",1,0)</f>
        <v>2</v>
      </c>
      <c r="G13" s="6" t="n">
        <f aca="false">IF(ISNUMBER(Responses!P9),1,0)+IF(ISNUMBER(Responses!P53),1,0)</f>
        <v>2</v>
      </c>
      <c r="H13" s="6" t="n">
        <f aca="false">IF(AND(ISNUMBER(Responses!P9),Responses!P9=1),1,0)+IF(AND(ISNUMBER(Responses!P53),Responses!P53=1),1,0)</f>
        <v>2</v>
      </c>
      <c r="I13" s="6" t="n">
        <f aca="false">IF(AND(ISNUMBER(Responses!P9),Responses!P9=0.5),1,0)+IF(AND(ISNUMBER(Responses!P53),Responses!P53=0.5),1,0)</f>
        <v>0</v>
      </c>
      <c r="J13" s="6" t="n">
        <f aca="false">IF(AND(ISNUMBER(Responses!P9),Responses!P9=0),1,0)+IF(AND(ISNUMBER(Responses!P53),Responses!P53=0),1,0)</f>
        <v>0</v>
      </c>
      <c r="K13" s="6" t="n">
        <f aca="false">F13-G13</f>
        <v>0</v>
      </c>
      <c r="L13" s="7" t="n">
        <f aca="false">IF(G13=0,"",(H13+I13*0.5)/G13)</f>
        <v>1</v>
      </c>
    </row>
    <row r="14" customFormat="false" ht="29" hidden="false" customHeight="true" outlineLevel="0" collapsed="false">
      <c r="A14" s="4" t="s">
        <v>134</v>
      </c>
      <c r="B14" s="4" t="s">
        <v>82</v>
      </c>
      <c r="C14" s="4" t="s">
        <v>81</v>
      </c>
      <c r="D14" s="4" t="s">
        <v>131</v>
      </c>
      <c r="E14" s="4" t="n">
        <v>2</v>
      </c>
      <c r="F14" s="6" t="n">
        <f aca="false">IF(Responses!I9="Include",1,0)+IF(Responses!I53="Include",1,0)</f>
        <v>2</v>
      </c>
      <c r="G14" s="6" t="n">
        <f aca="false">IF(ISNUMBER(Responses!Q9),1,0)+IF(ISNUMBER(Responses!Q53),1,0)</f>
        <v>2</v>
      </c>
      <c r="H14" s="6" t="n">
        <f aca="false">IF(AND(ISNUMBER(Responses!Q9),Responses!Q9=1),1,0)+IF(AND(ISNUMBER(Responses!Q53),Responses!Q53=1),1,0)</f>
        <v>1</v>
      </c>
      <c r="I14" s="6" t="n">
        <f aca="false">IF(AND(ISNUMBER(Responses!Q9),Responses!Q9=0.5),1,0)+IF(AND(ISNUMBER(Responses!Q53),Responses!Q53=0.5),1,0)</f>
        <v>0</v>
      </c>
      <c r="J14" s="6" t="n">
        <f aca="false">IF(AND(ISNUMBER(Responses!Q9),Responses!Q9=0),1,0)+IF(AND(ISNUMBER(Responses!Q53),Responses!Q53=0),1,0)</f>
        <v>1</v>
      </c>
      <c r="K14" s="6" t="n">
        <f aca="false">F14-G14</f>
        <v>0</v>
      </c>
      <c r="L14" s="7" t="n">
        <f aca="false">IF(G14=0,"",(H14+I14*0.5)/G14)</f>
        <v>0.5</v>
      </c>
    </row>
    <row r="15" customFormat="false" ht="29" hidden="false" customHeight="true" outlineLevel="0" collapsed="false">
      <c r="A15" s="4" t="s">
        <v>134</v>
      </c>
      <c r="B15" s="4" t="s">
        <v>82</v>
      </c>
      <c r="C15" s="4" t="s">
        <v>81</v>
      </c>
      <c r="D15" s="4" t="s">
        <v>132</v>
      </c>
      <c r="E15" s="4" t="n">
        <v>2</v>
      </c>
      <c r="F15" s="6" t="n">
        <f aca="false">IF(Responses!I9="Include",1,0)+IF(Responses!I53="Include",1,0)</f>
        <v>2</v>
      </c>
      <c r="G15" s="6" t="n">
        <f aca="false">IF(ISNUMBER(Responses!R9),1,0)+IF(ISNUMBER(Responses!R53),1,0)</f>
        <v>1</v>
      </c>
      <c r="H15" s="6" t="n">
        <f aca="false">IF(AND(ISNUMBER(Responses!R9),Responses!R9=1),1,0)+IF(AND(ISNUMBER(Responses!R53),Responses!R53=1),1,0)</f>
        <v>1</v>
      </c>
      <c r="I15" s="6" t="n">
        <f aca="false">IF(AND(ISNUMBER(Responses!R9),Responses!R9=0.5),1,0)+IF(AND(ISNUMBER(Responses!R53),Responses!R53=0.5),1,0)</f>
        <v>0</v>
      </c>
      <c r="J15" s="6" t="n">
        <f aca="false">IF(AND(ISNUMBER(Responses!R9),Responses!R9=0),1,0)+IF(AND(ISNUMBER(Responses!R53),Responses!R53=0),1,0)</f>
        <v>0</v>
      </c>
      <c r="K15" s="6" t="n">
        <f aca="false">F15-G15</f>
        <v>1</v>
      </c>
      <c r="L15" s="7" t="n">
        <f aca="false">IF(G15=0,"",(H15+I15*0.5)/G15)</f>
        <v>1</v>
      </c>
    </row>
    <row r="16" customFormat="false" ht="29" hidden="false" customHeight="true" outlineLevel="0" collapsed="false">
      <c r="A16" s="4" t="s">
        <v>135</v>
      </c>
      <c r="B16" s="4" t="s">
        <v>82</v>
      </c>
      <c r="C16" s="4" t="s">
        <v>81</v>
      </c>
      <c r="D16" s="4" t="s">
        <v>126</v>
      </c>
      <c r="E16" s="4" t="n">
        <v>2</v>
      </c>
      <c r="F16" s="6" t="n">
        <f aca="false">IF(Responses!I12="Include",1,0)+IF(Responses!I71="Include",1,0)</f>
        <v>2</v>
      </c>
      <c r="G16" s="6" t="n">
        <f aca="false">IF(ISNUMBER(Responses!P12),1,0)+IF(ISNUMBER(Responses!P71),1,0)</f>
        <v>2</v>
      </c>
      <c r="H16" s="6" t="n">
        <f aca="false">IF(AND(ISNUMBER(Responses!P12),Responses!P12=1),1,0)+IF(AND(ISNUMBER(Responses!P71),Responses!P71=1),1,0)</f>
        <v>1</v>
      </c>
      <c r="I16" s="6" t="n">
        <f aca="false">IF(AND(ISNUMBER(Responses!P12),Responses!P12=0.5),1,0)+IF(AND(ISNUMBER(Responses!P71),Responses!P71=0.5),1,0)</f>
        <v>0</v>
      </c>
      <c r="J16" s="6" t="n">
        <f aca="false">IF(AND(ISNUMBER(Responses!P12),Responses!P12=0),1,0)+IF(AND(ISNUMBER(Responses!P71),Responses!P71=0),1,0)</f>
        <v>1</v>
      </c>
      <c r="K16" s="6" t="n">
        <f aca="false">F16-G16</f>
        <v>0</v>
      </c>
      <c r="L16" s="7" t="n">
        <f aca="false">IF(G16=0,"",(H16+I16*0.5)/G16)</f>
        <v>0.5</v>
      </c>
    </row>
    <row r="17" customFormat="false" ht="29" hidden="false" customHeight="true" outlineLevel="0" collapsed="false">
      <c r="A17" s="4" t="s">
        <v>135</v>
      </c>
      <c r="B17" s="4" t="s">
        <v>82</v>
      </c>
      <c r="C17" s="4" t="s">
        <v>81</v>
      </c>
      <c r="D17" s="4" t="s">
        <v>131</v>
      </c>
      <c r="E17" s="4" t="n">
        <v>2</v>
      </c>
      <c r="F17" s="6" t="n">
        <f aca="false">IF(Responses!I12="Include",1,0)+IF(Responses!I71="Include",1,0)</f>
        <v>2</v>
      </c>
      <c r="G17" s="6" t="n">
        <f aca="false">IF(ISNUMBER(Responses!Q12),1,0)+IF(ISNUMBER(Responses!Q71),1,0)</f>
        <v>2</v>
      </c>
      <c r="H17" s="6" t="n">
        <f aca="false">IF(AND(ISNUMBER(Responses!Q12),Responses!Q12=1),1,0)+IF(AND(ISNUMBER(Responses!Q71),Responses!Q71=1),1,0)</f>
        <v>1</v>
      </c>
      <c r="I17" s="6" t="n">
        <f aca="false">IF(AND(ISNUMBER(Responses!Q12),Responses!Q12=0.5),1,0)+IF(AND(ISNUMBER(Responses!Q71),Responses!Q71=0.5),1,0)</f>
        <v>0</v>
      </c>
      <c r="J17" s="6" t="n">
        <f aca="false">IF(AND(ISNUMBER(Responses!Q12),Responses!Q12=0),1,0)+IF(AND(ISNUMBER(Responses!Q71),Responses!Q71=0),1,0)</f>
        <v>1</v>
      </c>
      <c r="K17" s="6" t="n">
        <f aca="false">F17-G17</f>
        <v>0</v>
      </c>
      <c r="L17" s="7" t="n">
        <f aca="false">IF(G17=0,"",(H17+I17*0.5)/G17)</f>
        <v>0.5</v>
      </c>
    </row>
    <row r="18" customFormat="false" ht="29" hidden="false" customHeight="true" outlineLevel="0" collapsed="false">
      <c r="A18" s="4" t="s">
        <v>135</v>
      </c>
      <c r="B18" s="4" t="s">
        <v>82</v>
      </c>
      <c r="C18" s="4" t="s">
        <v>81</v>
      </c>
      <c r="D18" s="4" t="s">
        <v>132</v>
      </c>
      <c r="E18" s="4" t="n">
        <v>2</v>
      </c>
      <c r="F18" s="6" t="n">
        <f aca="false">IF(Responses!I12="Include",1,0)+IF(Responses!I71="Include",1,0)</f>
        <v>2</v>
      </c>
      <c r="G18" s="6" t="n">
        <f aca="false">IF(ISNUMBER(Responses!R12),1,0)+IF(ISNUMBER(Responses!R71),1,0)</f>
        <v>2</v>
      </c>
      <c r="H18" s="6" t="n">
        <f aca="false">IF(AND(ISNUMBER(Responses!R12),Responses!R12=1),1,0)+IF(AND(ISNUMBER(Responses!R71),Responses!R71=1),1,0)</f>
        <v>1</v>
      </c>
      <c r="I18" s="6" t="n">
        <f aca="false">IF(AND(ISNUMBER(Responses!R12),Responses!R12=0.5),1,0)+IF(AND(ISNUMBER(Responses!R71),Responses!R71=0.5),1,0)</f>
        <v>0</v>
      </c>
      <c r="J18" s="6" t="n">
        <f aca="false">IF(AND(ISNUMBER(Responses!R12),Responses!R12=0),1,0)+IF(AND(ISNUMBER(Responses!R71),Responses!R71=0),1,0)</f>
        <v>1</v>
      </c>
      <c r="K18" s="6" t="n">
        <f aca="false">F18-G18</f>
        <v>0</v>
      </c>
      <c r="L18" s="7" t="n">
        <f aca="false">IF(G18=0,"",(H18+I18*0.5)/G18)</f>
        <v>0.5</v>
      </c>
    </row>
    <row r="19" customFormat="false" ht="29" hidden="false" customHeight="true" outlineLevel="0" collapsed="false">
      <c r="A19" s="4" t="s">
        <v>136</v>
      </c>
      <c r="B19" s="4" t="s">
        <v>82</v>
      </c>
      <c r="C19" s="4" t="s">
        <v>81</v>
      </c>
      <c r="D19" s="4" t="s">
        <v>126</v>
      </c>
      <c r="E19" s="4" t="n">
        <v>2</v>
      </c>
      <c r="F19" s="6" t="n">
        <f aca="false">IF(Responses!I19="Include",1,0)+IF(Responses!I50="Include",1,0)</f>
        <v>2</v>
      </c>
      <c r="G19" s="6" t="n">
        <f aca="false">IF(ISNUMBER(Responses!P19),1,0)+IF(ISNUMBER(Responses!P50),1,0)</f>
        <v>2</v>
      </c>
      <c r="H19" s="6" t="n">
        <f aca="false">IF(AND(ISNUMBER(Responses!P19),Responses!P19=1),1,0)+IF(AND(ISNUMBER(Responses!P50),Responses!P50=1),1,0)</f>
        <v>1</v>
      </c>
      <c r="I19" s="6" t="n">
        <f aca="false">IF(AND(ISNUMBER(Responses!P19),Responses!P19=0.5),1,0)+IF(AND(ISNUMBER(Responses!P50),Responses!P50=0.5),1,0)</f>
        <v>0</v>
      </c>
      <c r="J19" s="6" t="n">
        <f aca="false">IF(AND(ISNUMBER(Responses!P19),Responses!P19=0),1,0)+IF(AND(ISNUMBER(Responses!P50),Responses!P50=0),1,0)</f>
        <v>1</v>
      </c>
      <c r="K19" s="6" t="n">
        <f aca="false">F19-G19</f>
        <v>0</v>
      </c>
      <c r="L19" s="7" t="n">
        <f aca="false">IF(G19=0,"",(H19+I19*0.5)/G19)</f>
        <v>0.5</v>
      </c>
    </row>
    <row r="20" customFormat="false" ht="29" hidden="false" customHeight="true" outlineLevel="0" collapsed="false">
      <c r="A20" s="4" t="s">
        <v>136</v>
      </c>
      <c r="B20" s="4" t="s">
        <v>82</v>
      </c>
      <c r="C20" s="4" t="s">
        <v>81</v>
      </c>
      <c r="D20" s="4" t="s">
        <v>131</v>
      </c>
      <c r="E20" s="4" t="n">
        <v>2</v>
      </c>
      <c r="F20" s="6" t="n">
        <f aca="false">IF(Responses!I19="Include",1,0)+IF(Responses!I50="Include",1,0)</f>
        <v>2</v>
      </c>
      <c r="G20" s="6" t="n">
        <f aca="false">IF(ISNUMBER(Responses!Q19),1,0)+IF(ISNUMBER(Responses!Q50),1,0)</f>
        <v>2</v>
      </c>
      <c r="H20" s="6" t="n">
        <f aca="false">IF(AND(ISNUMBER(Responses!Q19),Responses!Q19=1),1,0)+IF(AND(ISNUMBER(Responses!Q50),Responses!Q50=1),1,0)</f>
        <v>0</v>
      </c>
      <c r="I20" s="6" t="n">
        <f aca="false">IF(AND(ISNUMBER(Responses!Q19),Responses!Q19=0.5),1,0)+IF(AND(ISNUMBER(Responses!Q50),Responses!Q50=0.5),1,0)</f>
        <v>0</v>
      </c>
      <c r="J20" s="6" t="n">
        <f aca="false">IF(AND(ISNUMBER(Responses!Q19),Responses!Q19=0),1,0)+IF(AND(ISNUMBER(Responses!Q50),Responses!Q50=0),1,0)</f>
        <v>2</v>
      </c>
      <c r="K20" s="6" t="n">
        <f aca="false">F20-G20</f>
        <v>0</v>
      </c>
      <c r="L20" s="7" t="n">
        <f aca="false">IF(G20=0,"",(H20+I20*0.5)/G20)</f>
        <v>0</v>
      </c>
    </row>
    <row r="21" customFormat="false" ht="29" hidden="false" customHeight="true" outlineLevel="0" collapsed="false">
      <c r="A21" s="4" t="s">
        <v>136</v>
      </c>
      <c r="B21" s="4" t="s">
        <v>82</v>
      </c>
      <c r="C21" s="4" t="s">
        <v>81</v>
      </c>
      <c r="D21" s="4" t="s">
        <v>132</v>
      </c>
      <c r="E21" s="4" t="n">
        <v>2</v>
      </c>
      <c r="F21" s="6" t="n">
        <f aca="false">IF(Responses!I19="Include",1,0)+IF(Responses!I50="Include",1,0)</f>
        <v>2</v>
      </c>
      <c r="G21" s="6" t="n">
        <f aca="false">IF(ISNUMBER(Responses!R19),1,0)+IF(ISNUMBER(Responses!R50),1,0)</f>
        <v>2</v>
      </c>
      <c r="H21" s="6" t="n">
        <f aca="false">IF(AND(ISNUMBER(Responses!R19),Responses!R19=1),1,0)+IF(AND(ISNUMBER(Responses!R50),Responses!R50=1),1,0)</f>
        <v>1</v>
      </c>
      <c r="I21" s="6" t="n">
        <f aca="false">IF(AND(ISNUMBER(Responses!R19),Responses!R19=0.5),1,0)+IF(AND(ISNUMBER(Responses!R50),Responses!R50=0.5),1,0)</f>
        <v>0</v>
      </c>
      <c r="J21" s="6" t="n">
        <f aca="false">IF(AND(ISNUMBER(Responses!R19),Responses!R19=0),1,0)+IF(AND(ISNUMBER(Responses!R50),Responses!R50=0),1,0)</f>
        <v>1</v>
      </c>
      <c r="K21" s="6" t="n">
        <f aca="false">F21-G21</f>
        <v>0</v>
      </c>
      <c r="L21" s="7" t="n">
        <f aca="false">IF(G21=0,"",(H21+I21*0.5)/G21)</f>
        <v>0.5</v>
      </c>
    </row>
    <row r="22" customFormat="false" ht="29" hidden="false" customHeight="true" outlineLevel="0" collapsed="false">
      <c r="A22" s="4" t="s">
        <v>137</v>
      </c>
      <c r="B22" s="4" t="s">
        <v>82</v>
      </c>
      <c r="C22" s="4" t="s">
        <v>81</v>
      </c>
      <c r="D22" s="4" t="s">
        <v>126</v>
      </c>
      <c r="E22" s="4" t="n">
        <v>2</v>
      </c>
      <c r="F22" s="6" t="n">
        <f aca="false">IF(Responses!I14="Include",1,0)+IF(Responses!I30="Include",1,0)</f>
        <v>1</v>
      </c>
      <c r="G22" s="6" t="n">
        <f aca="false">IF(ISNUMBER(Responses!P14),1,0)+IF(ISNUMBER(Responses!P30),1,0)</f>
        <v>1</v>
      </c>
      <c r="H22" s="6" t="n">
        <f aca="false">IF(AND(ISNUMBER(Responses!P14),Responses!P14=1),1,0)+IF(AND(ISNUMBER(Responses!P30),Responses!P30=1),1,0)</f>
        <v>1</v>
      </c>
      <c r="I22" s="6" t="n">
        <f aca="false">IF(AND(ISNUMBER(Responses!P14),Responses!P14=0.5),1,0)+IF(AND(ISNUMBER(Responses!P30),Responses!P30=0.5),1,0)</f>
        <v>0</v>
      </c>
      <c r="J22" s="6" t="n">
        <f aca="false">IF(AND(ISNUMBER(Responses!P14),Responses!P14=0),1,0)+IF(AND(ISNUMBER(Responses!P30),Responses!P30=0),1,0)</f>
        <v>0</v>
      </c>
      <c r="K22" s="6" t="n">
        <f aca="false">F22-G22</f>
        <v>0</v>
      </c>
      <c r="L22" s="7" t="n">
        <f aca="false">IF(G22=0,"",(H22+I22*0.5)/G22)</f>
        <v>1</v>
      </c>
    </row>
    <row r="23" customFormat="false" ht="29" hidden="false" customHeight="true" outlineLevel="0" collapsed="false">
      <c r="A23" s="4" t="s">
        <v>137</v>
      </c>
      <c r="B23" s="4" t="s">
        <v>82</v>
      </c>
      <c r="C23" s="4" t="s">
        <v>81</v>
      </c>
      <c r="D23" s="4" t="s">
        <v>131</v>
      </c>
      <c r="E23" s="4" t="n">
        <v>2</v>
      </c>
      <c r="F23" s="6" t="n">
        <f aca="false">IF(Responses!I14="Include",1,0)+IF(Responses!I30="Include",1,0)</f>
        <v>1</v>
      </c>
      <c r="G23" s="6" t="n">
        <f aca="false">IF(ISNUMBER(Responses!Q14),1,0)+IF(ISNUMBER(Responses!Q30),1,0)</f>
        <v>1</v>
      </c>
      <c r="H23" s="6" t="n">
        <f aca="false">IF(AND(ISNUMBER(Responses!Q14),Responses!Q14=1),1,0)+IF(AND(ISNUMBER(Responses!Q30),Responses!Q30=1),1,0)</f>
        <v>0</v>
      </c>
      <c r="I23" s="6" t="n">
        <f aca="false">IF(AND(ISNUMBER(Responses!Q14),Responses!Q14=0.5),1,0)+IF(AND(ISNUMBER(Responses!Q30),Responses!Q30=0.5),1,0)</f>
        <v>0</v>
      </c>
      <c r="J23" s="6" t="n">
        <f aca="false">IF(AND(ISNUMBER(Responses!Q14),Responses!Q14=0),1,0)+IF(AND(ISNUMBER(Responses!Q30),Responses!Q30=0),1,0)</f>
        <v>1</v>
      </c>
      <c r="K23" s="6" t="n">
        <f aca="false">F23-G23</f>
        <v>0</v>
      </c>
      <c r="L23" s="7" t="n">
        <f aca="false">IF(G23=0,"",(H23+I23*0.5)/G23)</f>
        <v>0</v>
      </c>
    </row>
    <row r="24" customFormat="false" ht="29" hidden="false" customHeight="true" outlineLevel="0" collapsed="false">
      <c r="A24" s="4" t="s">
        <v>137</v>
      </c>
      <c r="B24" s="4" t="s">
        <v>82</v>
      </c>
      <c r="C24" s="4" t="s">
        <v>81</v>
      </c>
      <c r="D24" s="4" t="s">
        <v>132</v>
      </c>
      <c r="E24" s="4" t="n">
        <v>2</v>
      </c>
      <c r="F24" s="6" t="n">
        <f aca="false">IF(Responses!I14="Include",1,0)+IF(Responses!I30="Include",1,0)</f>
        <v>1</v>
      </c>
      <c r="G24" s="6" t="n">
        <f aca="false">IF(ISNUMBER(Responses!R14),1,0)+IF(ISNUMBER(Responses!R30),1,0)</f>
        <v>1</v>
      </c>
      <c r="H24" s="6" t="n">
        <f aca="false">IF(AND(ISNUMBER(Responses!R14),Responses!R14=1),1,0)+IF(AND(ISNUMBER(Responses!R30),Responses!R30=1),1,0)</f>
        <v>0</v>
      </c>
      <c r="I24" s="6" t="n">
        <f aca="false">IF(AND(ISNUMBER(Responses!R14),Responses!R14=0.5),1,0)+IF(AND(ISNUMBER(Responses!R30),Responses!R30=0.5),1,0)</f>
        <v>0</v>
      </c>
      <c r="J24" s="6" t="n">
        <f aca="false">IF(AND(ISNUMBER(Responses!R14),Responses!R14=0),1,0)+IF(AND(ISNUMBER(Responses!R30),Responses!R30=0),1,0)</f>
        <v>1</v>
      </c>
      <c r="K24" s="6" t="n">
        <f aca="false">F24-G24</f>
        <v>0</v>
      </c>
      <c r="L24" s="7" t="n">
        <f aca="false">IF(G24=0,"",(H24+I24*0.5)/G24)</f>
        <v>0</v>
      </c>
    </row>
    <row r="25" customFormat="false" ht="29" hidden="false" customHeight="true" outlineLevel="0" collapsed="false">
      <c r="A25" s="4" t="s">
        <v>138</v>
      </c>
      <c r="B25" s="4" t="s">
        <v>82</v>
      </c>
      <c r="C25" s="4" t="s">
        <v>81</v>
      </c>
      <c r="D25" s="4" t="s">
        <v>126</v>
      </c>
      <c r="E25" s="4" t="n">
        <v>2</v>
      </c>
      <c r="F25" s="6" t="n">
        <f aca="false">IF(Responses!I35="Include",1,0)+IF(Responses!I45="Include",1,0)</f>
        <v>2</v>
      </c>
      <c r="G25" s="6" t="n">
        <f aca="false">IF(ISNUMBER(Responses!P35),1,0)+IF(ISNUMBER(Responses!P45),1,0)</f>
        <v>2</v>
      </c>
      <c r="H25" s="6" t="n">
        <f aca="false">IF(AND(ISNUMBER(Responses!P35),Responses!P35=1),1,0)+IF(AND(ISNUMBER(Responses!P45),Responses!P45=1),1,0)</f>
        <v>1</v>
      </c>
      <c r="I25" s="6" t="n">
        <f aca="false">IF(AND(ISNUMBER(Responses!P35),Responses!P35=0.5),1,0)+IF(AND(ISNUMBER(Responses!P45),Responses!P45=0.5),1,0)</f>
        <v>0</v>
      </c>
      <c r="J25" s="6" t="n">
        <f aca="false">IF(AND(ISNUMBER(Responses!P35),Responses!P35=0),1,0)+IF(AND(ISNUMBER(Responses!P45),Responses!P45=0),1,0)</f>
        <v>1</v>
      </c>
      <c r="K25" s="6" t="n">
        <f aca="false">F25-G25</f>
        <v>0</v>
      </c>
      <c r="L25" s="7" t="n">
        <f aca="false">IF(G25=0,"",(H25+I25*0.5)/G25)</f>
        <v>0.5</v>
      </c>
    </row>
    <row r="26" customFormat="false" ht="29" hidden="false" customHeight="true" outlineLevel="0" collapsed="false">
      <c r="A26" s="4" t="s">
        <v>138</v>
      </c>
      <c r="B26" s="4" t="s">
        <v>82</v>
      </c>
      <c r="C26" s="4" t="s">
        <v>81</v>
      </c>
      <c r="D26" s="4" t="s">
        <v>131</v>
      </c>
      <c r="E26" s="4" t="n">
        <v>2</v>
      </c>
      <c r="F26" s="6" t="n">
        <f aca="false">IF(Responses!I35="Include",1,0)+IF(Responses!I45="Include",1,0)</f>
        <v>2</v>
      </c>
      <c r="G26" s="6" t="n">
        <f aca="false">IF(ISNUMBER(Responses!Q35),1,0)+IF(ISNUMBER(Responses!Q45),1,0)</f>
        <v>2</v>
      </c>
      <c r="H26" s="6" t="n">
        <f aca="false">IF(AND(ISNUMBER(Responses!Q35),Responses!Q35=1),1,0)+IF(AND(ISNUMBER(Responses!Q45),Responses!Q45=1),1,0)</f>
        <v>0</v>
      </c>
      <c r="I26" s="6" t="n">
        <f aca="false">IF(AND(ISNUMBER(Responses!Q35),Responses!Q35=0.5),1,0)+IF(AND(ISNUMBER(Responses!Q45),Responses!Q45=0.5),1,0)</f>
        <v>1</v>
      </c>
      <c r="J26" s="6" t="n">
        <f aca="false">IF(AND(ISNUMBER(Responses!Q35),Responses!Q35=0),1,0)+IF(AND(ISNUMBER(Responses!Q45),Responses!Q45=0),1,0)</f>
        <v>1</v>
      </c>
      <c r="K26" s="6" t="n">
        <f aca="false">F26-G26</f>
        <v>0</v>
      </c>
      <c r="L26" s="7" t="n">
        <f aca="false">IF(G26=0,"",(H26+I26*0.5)/G26)</f>
        <v>0.25</v>
      </c>
    </row>
    <row r="27" customFormat="false" ht="29" hidden="false" customHeight="true" outlineLevel="0" collapsed="false">
      <c r="A27" s="4" t="s">
        <v>138</v>
      </c>
      <c r="B27" s="4" t="s">
        <v>82</v>
      </c>
      <c r="C27" s="4" t="s">
        <v>81</v>
      </c>
      <c r="D27" s="4" t="s">
        <v>132</v>
      </c>
      <c r="E27" s="4" t="n">
        <v>2</v>
      </c>
      <c r="F27" s="6" t="n">
        <f aca="false">IF(Responses!I35="Include",1,0)+IF(Responses!I45="Include",1,0)</f>
        <v>2</v>
      </c>
      <c r="G27" s="6" t="n">
        <f aca="false">IF(ISNUMBER(Responses!R35),1,0)+IF(ISNUMBER(Responses!R45),1,0)</f>
        <v>2</v>
      </c>
      <c r="H27" s="6" t="n">
        <f aca="false">IF(AND(ISNUMBER(Responses!R35),Responses!R35=1),1,0)+IF(AND(ISNUMBER(Responses!R45),Responses!R45=1),1,0)</f>
        <v>1</v>
      </c>
      <c r="I27" s="6" t="n">
        <f aca="false">IF(AND(ISNUMBER(Responses!R35),Responses!R35=0.5),1,0)+IF(AND(ISNUMBER(Responses!R45),Responses!R45=0.5),1,0)</f>
        <v>0</v>
      </c>
      <c r="J27" s="6" t="n">
        <f aca="false">IF(AND(ISNUMBER(Responses!R35),Responses!R35=0),1,0)+IF(AND(ISNUMBER(Responses!R45),Responses!R45=0),1,0)</f>
        <v>1</v>
      </c>
      <c r="K27" s="6" t="n">
        <f aca="false">F27-G27</f>
        <v>0</v>
      </c>
      <c r="L27" s="7" t="n">
        <f aca="false">IF(G27=0,"",(H27+I27*0.5)/G27)</f>
        <v>0.5</v>
      </c>
    </row>
    <row r="28" customFormat="false" ht="29" hidden="false" customHeight="true" outlineLevel="0" collapsed="false">
      <c r="A28" s="4" t="s">
        <v>139</v>
      </c>
      <c r="B28" s="4" t="s">
        <v>82</v>
      </c>
      <c r="C28" s="4" t="s">
        <v>81</v>
      </c>
      <c r="D28" s="4" t="s">
        <v>126</v>
      </c>
      <c r="E28" s="4" t="n">
        <v>2</v>
      </c>
      <c r="F28" s="6" t="n">
        <f aca="false">IF(Responses!I17="Include",1,0)+IF(Responses!I27="Include",1,0)</f>
        <v>1</v>
      </c>
      <c r="G28" s="6" t="n">
        <f aca="false">IF(ISNUMBER(Responses!P17),1,0)+IF(ISNUMBER(Responses!P27),1,0)</f>
        <v>1</v>
      </c>
      <c r="H28" s="6" t="n">
        <f aca="false">IF(AND(ISNUMBER(Responses!P17),Responses!P17=1),1,0)+IF(AND(ISNUMBER(Responses!P27),Responses!P27=1),1,0)</f>
        <v>0</v>
      </c>
      <c r="I28" s="6" t="n">
        <f aca="false">IF(AND(ISNUMBER(Responses!P17),Responses!P17=0.5),1,0)+IF(AND(ISNUMBER(Responses!P27),Responses!P27=0.5),1,0)</f>
        <v>0</v>
      </c>
      <c r="J28" s="6" t="n">
        <f aca="false">IF(AND(ISNUMBER(Responses!P17),Responses!P17=0),1,0)+IF(AND(ISNUMBER(Responses!P27),Responses!P27=0),1,0)</f>
        <v>1</v>
      </c>
      <c r="K28" s="6" t="n">
        <f aca="false">F28-G28</f>
        <v>0</v>
      </c>
      <c r="L28" s="7" t="n">
        <f aca="false">IF(G28=0,"",(H28+I28*0.5)/G28)</f>
        <v>0</v>
      </c>
    </row>
    <row r="29" customFormat="false" ht="29" hidden="false" customHeight="true" outlineLevel="0" collapsed="false">
      <c r="A29" s="4" t="s">
        <v>139</v>
      </c>
      <c r="B29" s="4" t="s">
        <v>82</v>
      </c>
      <c r="C29" s="4" t="s">
        <v>81</v>
      </c>
      <c r="D29" s="4" t="s">
        <v>131</v>
      </c>
      <c r="E29" s="4" t="n">
        <v>2</v>
      </c>
      <c r="F29" s="6" t="n">
        <f aca="false">IF(Responses!I17="Include",1,0)+IF(Responses!I27="Include",1,0)</f>
        <v>1</v>
      </c>
      <c r="G29" s="6" t="n">
        <f aca="false">IF(ISNUMBER(Responses!Q17),1,0)+IF(ISNUMBER(Responses!Q27),1,0)</f>
        <v>1</v>
      </c>
      <c r="H29" s="6" t="n">
        <f aca="false">IF(AND(ISNUMBER(Responses!Q17),Responses!Q17=1),1,0)+IF(AND(ISNUMBER(Responses!Q27),Responses!Q27=1),1,0)</f>
        <v>0</v>
      </c>
      <c r="I29" s="6" t="n">
        <f aca="false">IF(AND(ISNUMBER(Responses!Q17),Responses!Q17=0.5),1,0)+IF(AND(ISNUMBER(Responses!Q27),Responses!Q27=0.5),1,0)</f>
        <v>0</v>
      </c>
      <c r="J29" s="6" t="n">
        <f aca="false">IF(AND(ISNUMBER(Responses!Q17),Responses!Q17=0),1,0)+IF(AND(ISNUMBER(Responses!Q27),Responses!Q27=0),1,0)</f>
        <v>1</v>
      </c>
      <c r="K29" s="6" t="n">
        <f aca="false">F29-G29</f>
        <v>0</v>
      </c>
      <c r="L29" s="7" t="n">
        <f aca="false">IF(G29=0,"",(H29+I29*0.5)/G29)</f>
        <v>0</v>
      </c>
    </row>
    <row r="30" customFormat="false" ht="29" hidden="false" customHeight="true" outlineLevel="0" collapsed="false">
      <c r="A30" s="4" t="s">
        <v>139</v>
      </c>
      <c r="B30" s="4" t="s">
        <v>82</v>
      </c>
      <c r="C30" s="4" t="s">
        <v>81</v>
      </c>
      <c r="D30" s="4" t="s">
        <v>132</v>
      </c>
      <c r="E30" s="4" t="n">
        <v>2</v>
      </c>
      <c r="F30" s="6" t="n">
        <f aca="false">IF(Responses!I17="Include",1,0)+IF(Responses!I27="Include",1,0)</f>
        <v>1</v>
      </c>
      <c r="G30" s="6" t="n">
        <f aca="false">IF(ISNUMBER(Responses!R17),1,0)+IF(ISNUMBER(Responses!R27),1,0)</f>
        <v>1</v>
      </c>
      <c r="H30" s="6" t="n">
        <f aca="false">IF(AND(ISNUMBER(Responses!R17),Responses!R17=1),1,0)+IF(AND(ISNUMBER(Responses!R27),Responses!R27=1),1,0)</f>
        <v>0</v>
      </c>
      <c r="I30" s="6" t="n">
        <f aca="false">IF(AND(ISNUMBER(Responses!R17),Responses!R17=0.5),1,0)+IF(AND(ISNUMBER(Responses!R27),Responses!R27=0.5),1,0)</f>
        <v>0</v>
      </c>
      <c r="J30" s="6" t="n">
        <f aca="false">IF(AND(ISNUMBER(Responses!R17),Responses!R17=0),1,0)+IF(AND(ISNUMBER(Responses!R27),Responses!R27=0),1,0)</f>
        <v>1</v>
      </c>
      <c r="K30" s="6" t="n">
        <f aca="false">F30-G30</f>
        <v>0</v>
      </c>
      <c r="L30" s="7" t="n">
        <f aca="false">IF(G30=0,"",(H30+I30*0.5)/G30)</f>
        <v>0</v>
      </c>
    </row>
    <row r="31" customFormat="false" ht="29" hidden="false" customHeight="true" outlineLevel="0" collapsed="false">
      <c r="A31" s="4" t="s">
        <v>140</v>
      </c>
      <c r="B31" s="4" t="s">
        <v>82</v>
      </c>
      <c r="C31" s="4" t="s">
        <v>81</v>
      </c>
      <c r="D31" s="4" t="s">
        <v>126</v>
      </c>
      <c r="E31" s="4" t="n">
        <v>2</v>
      </c>
      <c r="F31" s="6" t="n">
        <f aca="false">IF(Responses!I55="Include",1,0)+IF(Responses!I66="Include",1,0)</f>
        <v>2</v>
      </c>
      <c r="G31" s="6" t="n">
        <f aca="false">IF(ISNUMBER(Responses!P55),1,0)+IF(ISNUMBER(Responses!P66),1,0)</f>
        <v>2</v>
      </c>
      <c r="H31" s="6" t="n">
        <f aca="false">IF(AND(ISNUMBER(Responses!P55),Responses!P55=1),1,0)+IF(AND(ISNUMBER(Responses!P66),Responses!P66=1),1,0)</f>
        <v>0</v>
      </c>
      <c r="I31" s="6" t="n">
        <f aca="false">IF(AND(ISNUMBER(Responses!P55),Responses!P55=0.5),1,0)+IF(AND(ISNUMBER(Responses!P66),Responses!P66=0.5),1,0)</f>
        <v>0</v>
      </c>
      <c r="J31" s="6" t="n">
        <f aca="false">IF(AND(ISNUMBER(Responses!P55),Responses!P55=0),1,0)+IF(AND(ISNUMBER(Responses!P66),Responses!P66=0),1,0)</f>
        <v>2</v>
      </c>
      <c r="K31" s="6" t="n">
        <f aca="false">F31-G31</f>
        <v>0</v>
      </c>
      <c r="L31" s="7" t="n">
        <f aca="false">IF(G31=0,"",(H31+I31*0.5)/G31)</f>
        <v>0</v>
      </c>
    </row>
    <row r="32" customFormat="false" ht="29" hidden="false" customHeight="true" outlineLevel="0" collapsed="false">
      <c r="A32" s="4" t="s">
        <v>140</v>
      </c>
      <c r="B32" s="4" t="s">
        <v>82</v>
      </c>
      <c r="C32" s="4" t="s">
        <v>81</v>
      </c>
      <c r="D32" s="4" t="s">
        <v>131</v>
      </c>
      <c r="E32" s="4" t="n">
        <v>2</v>
      </c>
      <c r="F32" s="6" t="n">
        <f aca="false">IF(Responses!I55="Include",1,0)+IF(Responses!I66="Include",1,0)</f>
        <v>2</v>
      </c>
      <c r="G32" s="6" t="n">
        <f aca="false">IF(ISNUMBER(Responses!Q55),1,0)+IF(ISNUMBER(Responses!Q66),1,0)</f>
        <v>2</v>
      </c>
      <c r="H32" s="6" t="n">
        <f aca="false">IF(AND(ISNUMBER(Responses!Q55),Responses!Q55=1),1,0)+IF(AND(ISNUMBER(Responses!Q66),Responses!Q66=1),1,0)</f>
        <v>0</v>
      </c>
      <c r="I32" s="6" t="n">
        <f aca="false">IF(AND(ISNUMBER(Responses!Q55),Responses!Q55=0.5),1,0)+IF(AND(ISNUMBER(Responses!Q66),Responses!Q66=0.5),1,0)</f>
        <v>0</v>
      </c>
      <c r="J32" s="6" t="n">
        <f aca="false">IF(AND(ISNUMBER(Responses!Q55),Responses!Q55=0),1,0)+IF(AND(ISNUMBER(Responses!Q66),Responses!Q66=0),1,0)</f>
        <v>2</v>
      </c>
      <c r="K32" s="6" t="n">
        <f aca="false">F32-G32</f>
        <v>0</v>
      </c>
      <c r="L32" s="7" t="n">
        <f aca="false">IF(G32=0,"",(H32+I32*0.5)/G32)</f>
        <v>0</v>
      </c>
    </row>
    <row r="33" customFormat="false" ht="29" hidden="false" customHeight="true" outlineLevel="0" collapsed="false">
      <c r="A33" s="4" t="s">
        <v>140</v>
      </c>
      <c r="B33" s="4" t="s">
        <v>82</v>
      </c>
      <c r="C33" s="4" t="s">
        <v>81</v>
      </c>
      <c r="D33" s="4" t="s">
        <v>132</v>
      </c>
      <c r="E33" s="4" t="n">
        <v>2</v>
      </c>
      <c r="F33" s="6" t="n">
        <f aca="false">IF(Responses!I55="Include",1,0)+IF(Responses!I66="Include",1,0)</f>
        <v>2</v>
      </c>
      <c r="G33" s="6" t="n">
        <f aca="false">IF(ISNUMBER(Responses!R55),1,0)+IF(ISNUMBER(Responses!R66),1,0)</f>
        <v>2</v>
      </c>
      <c r="H33" s="6" t="n">
        <f aca="false">IF(AND(ISNUMBER(Responses!R55),Responses!R55=1),1,0)+IF(AND(ISNUMBER(Responses!R66),Responses!R66=1),1,0)</f>
        <v>0</v>
      </c>
      <c r="I33" s="6" t="n">
        <f aca="false">IF(AND(ISNUMBER(Responses!R55),Responses!R55=0.5),1,0)+IF(AND(ISNUMBER(Responses!R66),Responses!R66=0.5),1,0)</f>
        <v>0</v>
      </c>
      <c r="J33" s="6" t="n">
        <f aca="false">IF(AND(ISNUMBER(Responses!R55),Responses!R55=0),1,0)+IF(AND(ISNUMBER(Responses!R66),Responses!R66=0),1,0)</f>
        <v>2</v>
      </c>
      <c r="K33" s="6" t="n">
        <f aca="false">F33-G33</f>
        <v>0</v>
      </c>
      <c r="L33" s="7" t="n">
        <f aca="false">IF(G33=0,"",(H33+I33*0.5)/G33)</f>
        <v>0</v>
      </c>
    </row>
    <row r="34" customFormat="false" ht="29" hidden="false" customHeight="true" outlineLevel="0" collapsed="false">
      <c r="A34" s="4" t="s">
        <v>141</v>
      </c>
      <c r="B34" s="4" t="s">
        <v>82</v>
      </c>
      <c r="C34" s="4" t="s">
        <v>81</v>
      </c>
      <c r="D34" s="4" t="s">
        <v>126</v>
      </c>
      <c r="E34" s="4" t="n">
        <v>2</v>
      </c>
      <c r="F34" s="6" t="n">
        <f aca="false">IF(Responses!I63="Include",1,0)+IF(Responses!I68="Include",1,0)</f>
        <v>2</v>
      </c>
      <c r="G34" s="6" t="n">
        <f aca="false">IF(ISNUMBER(Responses!P63),1,0)+IF(ISNUMBER(Responses!P68),1,0)</f>
        <v>2</v>
      </c>
      <c r="H34" s="6" t="n">
        <f aca="false">IF(AND(ISNUMBER(Responses!P63),Responses!P63=1),1,0)+IF(AND(ISNUMBER(Responses!P68),Responses!P68=1),1,0)</f>
        <v>0</v>
      </c>
      <c r="I34" s="6" t="n">
        <f aca="false">IF(AND(ISNUMBER(Responses!P63),Responses!P63=0.5),1,0)+IF(AND(ISNUMBER(Responses!P68),Responses!P68=0.5),1,0)</f>
        <v>0</v>
      </c>
      <c r="J34" s="6" t="n">
        <f aca="false">IF(AND(ISNUMBER(Responses!P63),Responses!P63=0),1,0)+IF(AND(ISNUMBER(Responses!P68),Responses!P68=0),1,0)</f>
        <v>2</v>
      </c>
      <c r="K34" s="6" t="n">
        <f aca="false">F34-G34</f>
        <v>0</v>
      </c>
      <c r="L34" s="7" t="n">
        <f aca="false">IF(G34=0,"",(H34+I34*0.5)/G34)</f>
        <v>0</v>
      </c>
    </row>
    <row r="35" customFormat="false" ht="29" hidden="false" customHeight="true" outlineLevel="0" collapsed="false">
      <c r="A35" s="4" t="s">
        <v>141</v>
      </c>
      <c r="B35" s="4" t="s">
        <v>82</v>
      </c>
      <c r="C35" s="4" t="s">
        <v>81</v>
      </c>
      <c r="D35" s="4" t="s">
        <v>131</v>
      </c>
      <c r="E35" s="4" t="n">
        <v>2</v>
      </c>
      <c r="F35" s="6" t="n">
        <f aca="false">IF(Responses!I63="Include",1,0)+IF(Responses!I68="Include",1,0)</f>
        <v>2</v>
      </c>
      <c r="G35" s="6" t="n">
        <f aca="false">IF(ISNUMBER(Responses!Q63),1,0)+IF(ISNUMBER(Responses!Q68),1,0)</f>
        <v>2</v>
      </c>
      <c r="H35" s="6" t="n">
        <f aca="false">IF(AND(ISNUMBER(Responses!Q63),Responses!Q63=1),1,0)+IF(AND(ISNUMBER(Responses!Q68),Responses!Q68=1),1,0)</f>
        <v>0</v>
      </c>
      <c r="I35" s="6" t="n">
        <f aca="false">IF(AND(ISNUMBER(Responses!Q63),Responses!Q63=0.5),1,0)+IF(AND(ISNUMBER(Responses!Q68),Responses!Q68=0.5),1,0)</f>
        <v>0</v>
      </c>
      <c r="J35" s="6" t="n">
        <f aca="false">IF(AND(ISNUMBER(Responses!Q63),Responses!Q63=0),1,0)+IF(AND(ISNUMBER(Responses!Q68),Responses!Q68=0),1,0)</f>
        <v>2</v>
      </c>
      <c r="K35" s="6" t="n">
        <f aca="false">F35-G35</f>
        <v>0</v>
      </c>
      <c r="L35" s="7" t="n">
        <f aca="false">IF(G35=0,"",(H35+I35*0.5)/G35)</f>
        <v>0</v>
      </c>
    </row>
    <row r="36" customFormat="false" ht="29" hidden="false" customHeight="true" outlineLevel="0" collapsed="false">
      <c r="A36" s="4" t="s">
        <v>141</v>
      </c>
      <c r="B36" s="4" t="s">
        <v>82</v>
      </c>
      <c r="C36" s="4" t="s">
        <v>81</v>
      </c>
      <c r="D36" s="4" t="s">
        <v>132</v>
      </c>
      <c r="E36" s="4" t="n">
        <v>2</v>
      </c>
      <c r="F36" s="6" t="n">
        <f aca="false">IF(Responses!I63="Include",1,0)+IF(Responses!I68="Include",1,0)</f>
        <v>2</v>
      </c>
      <c r="G36" s="6" t="n">
        <f aca="false">IF(ISNUMBER(Responses!R63),1,0)+IF(ISNUMBER(Responses!R68),1,0)</f>
        <v>2</v>
      </c>
      <c r="H36" s="6" t="n">
        <f aca="false">IF(AND(ISNUMBER(Responses!R63),Responses!R63=1),1,0)+IF(AND(ISNUMBER(Responses!R68),Responses!R68=1),1,0)</f>
        <v>0</v>
      </c>
      <c r="I36" s="6" t="n">
        <f aca="false">IF(AND(ISNUMBER(Responses!R63),Responses!R63=0.5),1,0)+IF(AND(ISNUMBER(Responses!R68),Responses!R68=0.5),1,0)</f>
        <v>0</v>
      </c>
      <c r="J36" s="6" t="n">
        <f aca="false">IF(AND(ISNUMBER(Responses!R63),Responses!R63=0),1,0)+IF(AND(ISNUMBER(Responses!R68),Responses!R68=0),1,0)</f>
        <v>2</v>
      </c>
      <c r="K36" s="6" t="n">
        <f aca="false">F36-G36</f>
        <v>0</v>
      </c>
      <c r="L36" s="7" t="n">
        <f aca="false">IF(G36=0,"",(H36+I36*0.5)/G36)</f>
        <v>0</v>
      </c>
    </row>
    <row r="40" customFormat="false" ht="29" hidden="false" customHeight="true" outlineLevel="0" collapsed="false">
      <c r="A40" s="4" t="s">
        <v>142</v>
      </c>
      <c r="B40" s="4"/>
      <c r="C40" s="4"/>
      <c r="D40" s="4"/>
      <c r="K40" s="6" t="n">
        <f aca="false">COUNT(L7,L10,L13,L16,L19,L22,L25,L28,L31,L34)</f>
        <v>10</v>
      </c>
      <c r="L40" s="7" t="n">
        <f aca="false">IF(COUNT(L7,L10,L13,L16,L19,L22,L25,L28,L31,L34)=10,AVERAGE(L7,L10,L13,L16,L19,L22,L25,L28,L31,L34),"")</f>
        <v>0.4</v>
      </c>
    </row>
    <row r="41" customFormat="false" ht="29" hidden="false" customHeight="true" outlineLevel="0" collapsed="false">
      <c r="A41" s="4" t="s">
        <v>143</v>
      </c>
      <c r="B41" s="4"/>
      <c r="C41" s="4"/>
      <c r="D41" s="4"/>
      <c r="K41" s="6" t="n">
        <f aca="false">COUNT(L8,L11,L14,L17,L20,L23,L26,L29,L32,L35)</f>
        <v>10</v>
      </c>
      <c r="L41" s="7" t="n">
        <f aca="false">IF(COUNT(L8,L11,L14,L17,L20,L23,L26,L29,L32,L35)=10,AVERAGE(L8,L11,L14,L17,L20,L23,L26,L29,L32,L35),"")</f>
        <v>0.325</v>
      </c>
    </row>
    <row r="42" customFormat="false" ht="29" hidden="false" customHeight="true" outlineLevel="0" collapsed="false">
      <c r="A42" s="4" t="s">
        <v>144</v>
      </c>
      <c r="B42" s="4"/>
      <c r="C42" s="4"/>
      <c r="D42" s="4"/>
      <c r="K42" s="6" t="n">
        <f aca="false">COUNT(L9,L12,L15,L18,L21,L24,L27,L30,L33,L36)</f>
        <v>10</v>
      </c>
      <c r="L42" s="7" t="n">
        <f aca="false">IF(COUNT(L9,L12,L15,L18,L21,L24,L27,L30,L33,L36)=10,AVERAGE(L9,L12,L15,L18,L21,L24,L27,L30,L33,L36),"")</f>
        <v>0.375</v>
      </c>
    </row>
    <row r="44" customFormat="false" ht="29" hidden="false" customHeight="true" outlineLevel="0" collapsed="false">
      <c r="A44" s="3" t="s">
        <v>145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29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sheetProtection sheet="true" objects="true" scenarios="true" formatColumns="false" formatRows="false" autoFilter="false"/>
  <autoFilter ref="A6:L36"/>
  <mergeCells count="6">
    <mergeCell ref="A1:L1"/>
    <mergeCell ref="A2:L4"/>
    <mergeCell ref="A40:D40"/>
    <mergeCell ref="A41:D41"/>
    <mergeCell ref="A42:D42"/>
    <mergeCell ref="A44:L4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29" zeroHeight="false" outlineLevelRow="0" outlineLevelCol="0"/>
  <cols>
    <col collapsed="false" customWidth="true" hidden="false" outlineLevel="0" max="6" min="1" style="0" width="17.71"/>
  </cols>
  <sheetData>
    <row r="1" customFormat="false" ht="36" hidden="false" customHeight="true" outlineLevel="0" collapsed="false">
      <c r="A1" s="1" t="s">
        <v>146</v>
      </c>
      <c r="B1" s="1"/>
      <c r="C1" s="1"/>
      <c r="D1" s="1"/>
      <c r="E1" s="1"/>
      <c r="F1" s="1"/>
    </row>
    <row r="2" customFormat="false" ht="29" hidden="false" customHeight="true" outlineLevel="0" collapsed="false">
      <c r="A2" s="3" t="s">
        <v>147</v>
      </c>
      <c r="B2" s="3"/>
      <c r="C2" s="3"/>
      <c r="D2" s="3"/>
      <c r="E2" s="3"/>
      <c r="F2" s="3"/>
    </row>
    <row r="3" customFormat="false" ht="29" hidden="false" customHeight="true" outlineLevel="0" collapsed="false">
      <c r="A3" s="3"/>
      <c r="B3" s="3"/>
      <c r="C3" s="3"/>
      <c r="D3" s="3"/>
      <c r="E3" s="3"/>
      <c r="F3" s="3"/>
    </row>
    <row r="4" customFormat="false" ht="29" hidden="false" customHeight="true" outlineLevel="0" collapsed="false">
      <c r="A4" s="3"/>
      <c r="B4" s="3"/>
      <c r="C4" s="3"/>
      <c r="D4" s="3"/>
      <c r="E4" s="3"/>
      <c r="F4" s="3"/>
    </row>
    <row r="6" customFormat="false" ht="40" hidden="false" customHeight="true" outlineLevel="0" collapsed="false">
      <c r="A6" s="2" t="s">
        <v>28</v>
      </c>
      <c r="B6" s="2" t="s">
        <v>51</v>
      </c>
      <c r="C6" s="2" t="s">
        <v>148</v>
      </c>
      <c r="D6" s="2" t="s">
        <v>60</v>
      </c>
      <c r="E6" s="2" t="s">
        <v>61</v>
      </c>
      <c r="F6" s="2" t="s">
        <v>149</v>
      </c>
    </row>
    <row r="7" customFormat="false" ht="29" hidden="false" customHeight="true" outlineLevel="0" collapsed="false">
      <c r="A7" s="4" t="s">
        <v>36</v>
      </c>
      <c r="B7" s="4" t="n">
        <v>1</v>
      </c>
      <c r="C7" s="4" t="s">
        <v>70</v>
      </c>
      <c r="D7" s="4" t="s">
        <v>72</v>
      </c>
      <c r="E7" s="4" t="s">
        <v>73</v>
      </c>
      <c r="F7" s="4" t="s">
        <v>71</v>
      </c>
    </row>
    <row r="8" customFormat="false" ht="29" hidden="false" customHeight="true" outlineLevel="0" collapsed="false">
      <c r="A8" s="4" t="s">
        <v>36</v>
      </c>
      <c r="B8" s="4" t="n">
        <v>2</v>
      </c>
      <c r="C8" s="4" t="s">
        <v>70</v>
      </c>
      <c r="D8" s="4" t="s">
        <v>76</v>
      </c>
      <c r="E8" s="4" t="s">
        <v>77</v>
      </c>
      <c r="F8" s="4" t="s">
        <v>75</v>
      </c>
    </row>
    <row r="9" customFormat="false" ht="29" hidden="false" customHeight="true" outlineLevel="0" collapsed="false">
      <c r="A9" s="4" t="s">
        <v>36</v>
      </c>
      <c r="B9" s="4" t="n">
        <v>3</v>
      </c>
      <c r="C9" s="4" t="s">
        <v>79</v>
      </c>
      <c r="D9" s="4" t="s">
        <v>81</v>
      </c>
      <c r="E9" s="4" t="s">
        <v>82</v>
      </c>
      <c r="F9" s="4" t="s">
        <v>80</v>
      </c>
    </row>
    <row r="10" customFormat="false" ht="29" hidden="false" customHeight="true" outlineLevel="0" collapsed="false">
      <c r="A10" s="4" t="s">
        <v>36</v>
      </c>
      <c r="B10" s="4" t="n">
        <v>4</v>
      </c>
      <c r="C10" s="4" t="s">
        <v>70</v>
      </c>
      <c r="D10" s="4" t="s">
        <v>72</v>
      </c>
      <c r="E10" s="4" t="s">
        <v>76</v>
      </c>
      <c r="F10" s="4" t="s">
        <v>83</v>
      </c>
    </row>
    <row r="11" customFormat="false" ht="29" hidden="false" customHeight="true" outlineLevel="0" collapsed="false">
      <c r="A11" s="4" t="s">
        <v>36</v>
      </c>
      <c r="B11" s="4" t="n">
        <v>5</v>
      </c>
      <c r="C11" s="4" t="s">
        <v>70</v>
      </c>
      <c r="D11" s="4" t="s">
        <v>77</v>
      </c>
      <c r="E11" s="4" t="s">
        <v>85</v>
      </c>
      <c r="F11" s="4" t="s">
        <v>84</v>
      </c>
    </row>
    <row r="12" customFormat="false" ht="29" hidden="false" customHeight="true" outlineLevel="0" collapsed="false">
      <c r="A12" s="4" t="s">
        <v>36</v>
      </c>
      <c r="B12" s="4" t="n">
        <v>6</v>
      </c>
      <c r="C12" s="4" t="s">
        <v>79</v>
      </c>
      <c r="D12" s="4" t="s">
        <v>82</v>
      </c>
      <c r="E12" s="4" t="s">
        <v>81</v>
      </c>
      <c r="F12" s="4" t="s">
        <v>86</v>
      </c>
    </row>
    <row r="13" customFormat="false" ht="29" hidden="false" customHeight="true" outlineLevel="0" collapsed="false">
      <c r="A13" s="4" t="s">
        <v>39</v>
      </c>
      <c r="B13" s="4" t="n">
        <v>1</v>
      </c>
      <c r="C13" s="4" t="s">
        <v>70</v>
      </c>
      <c r="D13" s="4" t="s">
        <v>76</v>
      </c>
      <c r="E13" s="4" t="s">
        <v>88</v>
      </c>
      <c r="F13" s="4" t="s">
        <v>87</v>
      </c>
    </row>
    <row r="14" customFormat="false" ht="29" hidden="false" customHeight="true" outlineLevel="0" collapsed="false">
      <c r="A14" s="4" t="s">
        <v>39</v>
      </c>
      <c r="B14" s="4" t="n">
        <v>2</v>
      </c>
      <c r="C14" s="4" t="s">
        <v>79</v>
      </c>
      <c r="D14" s="4" t="s">
        <v>81</v>
      </c>
      <c r="E14" s="4" t="s">
        <v>82</v>
      </c>
      <c r="F14" s="4" t="s">
        <v>89</v>
      </c>
    </row>
    <row r="15" customFormat="false" ht="29" hidden="false" customHeight="true" outlineLevel="0" collapsed="false">
      <c r="A15" s="4" t="s">
        <v>39</v>
      </c>
      <c r="B15" s="4" t="n">
        <v>3</v>
      </c>
      <c r="C15" s="4" t="s">
        <v>70</v>
      </c>
      <c r="D15" s="4" t="s">
        <v>76</v>
      </c>
      <c r="E15" s="4" t="s">
        <v>72</v>
      </c>
      <c r="F15" s="4" t="s">
        <v>83</v>
      </c>
    </row>
    <row r="16" customFormat="false" ht="29" hidden="false" customHeight="true" outlineLevel="0" collapsed="false">
      <c r="A16" s="4" t="s">
        <v>39</v>
      </c>
      <c r="B16" s="4" t="n">
        <v>4</v>
      </c>
      <c r="C16" s="4" t="s">
        <v>70</v>
      </c>
      <c r="D16" s="4" t="s">
        <v>77</v>
      </c>
      <c r="E16" s="4" t="s">
        <v>76</v>
      </c>
      <c r="F16" s="4" t="s">
        <v>75</v>
      </c>
    </row>
    <row r="17" customFormat="false" ht="29" hidden="false" customHeight="true" outlineLevel="0" collapsed="false">
      <c r="A17" s="4" t="s">
        <v>39</v>
      </c>
      <c r="B17" s="4" t="n">
        <v>5</v>
      </c>
      <c r="C17" s="4" t="s">
        <v>79</v>
      </c>
      <c r="D17" s="4" t="s">
        <v>82</v>
      </c>
      <c r="E17" s="4" t="s">
        <v>81</v>
      </c>
      <c r="F17" s="4" t="s">
        <v>90</v>
      </c>
    </row>
    <row r="18" customFormat="false" ht="29" hidden="false" customHeight="true" outlineLevel="0" collapsed="false">
      <c r="A18" s="4" t="s">
        <v>39</v>
      </c>
      <c r="B18" s="4" t="n">
        <v>6</v>
      </c>
      <c r="C18" s="4" t="s">
        <v>70</v>
      </c>
      <c r="D18" s="4" t="s">
        <v>88</v>
      </c>
      <c r="E18" s="4" t="s">
        <v>92</v>
      </c>
      <c r="F18" s="4" t="s">
        <v>91</v>
      </c>
    </row>
    <row r="19" customFormat="false" ht="29" hidden="false" customHeight="true" outlineLevel="0" collapsed="false">
      <c r="A19" s="4" t="s">
        <v>40</v>
      </c>
      <c r="B19" s="4" t="n">
        <v>1</v>
      </c>
      <c r="C19" s="4" t="s">
        <v>79</v>
      </c>
      <c r="D19" s="4" t="s">
        <v>82</v>
      </c>
      <c r="E19" s="4" t="s">
        <v>81</v>
      </c>
      <c r="F19" s="4" t="s">
        <v>93</v>
      </c>
    </row>
    <row r="20" customFormat="false" ht="29" hidden="false" customHeight="true" outlineLevel="0" collapsed="false">
      <c r="A20" s="4" t="s">
        <v>40</v>
      </c>
      <c r="B20" s="4" t="n">
        <v>2</v>
      </c>
      <c r="C20" s="4" t="s">
        <v>70</v>
      </c>
      <c r="D20" s="4" t="s">
        <v>88</v>
      </c>
      <c r="E20" s="4" t="s">
        <v>76</v>
      </c>
      <c r="F20" s="4" t="s">
        <v>87</v>
      </c>
    </row>
    <row r="21" customFormat="false" ht="29" hidden="false" customHeight="true" outlineLevel="0" collapsed="false">
      <c r="A21" s="4" t="s">
        <v>40</v>
      </c>
      <c r="B21" s="4" t="n">
        <v>3</v>
      </c>
      <c r="C21" s="4" t="s">
        <v>70</v>
      </c>
      <c r="D21" s="4" t="s">
        <v>72</v>
      </c>
      <c r="E21" s="4" t="s">
        <v>85</v>
      </c>
      <c r="F21" s="4" t="s">
        <v>94</v>
      </c>
    </row>
    <row r="22" customFormat="false" ht="29" hidden="false" customHeight="true" outlineLevel="0" collapsed="false">
      <c r="A22" s="4" t="s">
        <v>40</v>
      </c>
      <c r="B22" s="4" t="n">
        <v>4</v>
      </c>
      <c r="C22" s="4" t="s">
        <v>79</v>
      </c>
      <c r="D22" s="4" t="s">
        <v>81</v>
      </c>
      <c r="E22" s="4" t="s">
        <v>82</v>
      </c>
      <c r="F22" s="4" t="s">
        <v>95</v>
      </c>
    </row>
    <row r="23" customFormat="false" ht="29" hidden="false" customHeight="true" outlineLevel="0" collapsed="false">
      <c r="A23" s="4" t="s">
        <v>40</v>
      </c>
      <c r="B23" s="4" t="n">
        <v>5</v>
      </c>
      <c r="C23" s="4" t="s">
        <v>70</v>
      </c>
      <c r="D23" s="4" t="s">
        <v>73</v>
      </c>
      <c r="E23" s="4" t="s">
        <v>76</v>
      </c>
      <c r="F23" s="4" t="s">
        <v>96</v>
      </c>
    </row>
    <row r="24" customFormat="false" ht="29" hidden="false" customHeight="true" outlineLevel="0" collapsed="false">
      <c r="A24" s="4" t="s">
        <v>40</v>
      </c>
      <c r="B24" s="4" t="n">
        <v>6</v>
      </c>
      <c r="C24" s="4" t="s">
        <v>70</v>
      </c>
      <c r="D24" s="4" t="s">
        <v>92</v>
      </c>
      <c r="E24" s="4" t="s">
        <v>88</v>
      </c>
      <c r="F24" s="4" t="s">
        <v>91</v>
      </c>
    </row>
    <row r="25" customFormat="false" ht="29" hidden="false" customHeight="true" outlineLevel="0" collapsed="false">
      <c r="A25" s="4" t="s">
        <v>41</v>
      </c>
      <c r="B25" s="4" t="n">
        <v>1</v>
      </c>
      <c r="C25" s="4" t="s">
        <v>70</v>
      </c>
      <c r="D25" s="4" t="s">
        <v>77</v>
      </c>
      <c r="E25" s="4" t="s">
        <v>73</v>
      </c>
      <c r="F25" s="4" t="s">
        <v>97</v>
      </c>
    </row>
    <row r="26" customFormat="false" ht="29" hidden="false" customHeight="true" outlineLevel="0" collapsed="false">
      <c r="A26" s="4" t="s">
        <v>41</v>
      </c>
      <c r="B26" s="4" t="n">
        <v>2</v>
      </c>
      <c r="C26" s="4" t="s">
        <v>70</v>
      </c>
      <c r="D26" s="4" t="s">
        <v>76</v>
      </c>
      <c r="E26" s="4" t="s">
        <v>73</v>
      </c>
      <c r="F26" s="4" t="s">
        <v>96</v>
      </c>
    </row>
    <row r="27" customFormat="false" ht="29" hidden="false" customHeight="true" outlineLevel="0" collapsed="false">
      <c r="A27" s="4" t="s">
        <v>41</v>
      </c>
      <c r="B27" s="4" t="n">
        <v>3</v>
      </c>
      <c r="C27" s="4" t="s">
        <v>79</v>
      </c>
      <c r="D27" s="4" t="s">
        <v>81</v>
      </c>
      <c r="E27" s="4" t="s">
        <v>82</v>
      </c>
      <c r="F27" s="4" t="s">
        <v>90</v>
      </c>
    </row>
    <row r="28" customFormat="false" ht="29" hidden="false" customHeight="true" outlineLevel="0" collapsed="false">
      <c r="A28" s="4" t="s">
        <v>41</v>
      </c>
      <c r="B28" s="4" t="n">
        <v>4</v>
      </c>
      <c r="C28" s="4" t="s">
        <v>70</v>
      </c>
      <c r="D28" s="4" t="s">
        <v>85</v>
      </c>
      <c r="E28" s="4" t="s">
        <v>72</v>
      </c>
      <c r="F28" s="4" t="s">
        <v>94</v>
      </c>
    </row>
    <row r="29" customFormat="false" ht="29" hidden="false" customHeight="true" outlineLevel="0" collapsed="false">
      <c r="A29" s="4" t="s">
        <v>41</v>
      </c>
      <c r="B29" s="4" t="n">
        <v>5</v>
      </c>
      <c r="C29" s="4" t="s">
        <v>70</v>
      </c>
      <c r="D29" s="4" t="s">
        <v>92</v>
      </c>
      <c r="E29" s="4" t="s">
        <v>72</v>
      </c>
      <c r="F29" s="4" t="s">
        <v>99</v>
      </c>
    </row>
    <row r="30" customFormat="false" ht="29" hidden="false" customHeight="true" outlineLevel="0" collapsed="false">
      <c r="A30" s="4" t="s">
        <v>41</v>
      </c>
      <c r="B30" s="4" t="n">
        <v>6</v>
      </c>
      <c r="C30" s="4" t="s">
        <v>79</v>
      </c>
      <c r="D30" s="4" t="s">
        <v>82</v>
      </c>
      <c r="E30" s="4" t="s">
        <v>81</v>
      </c>
      <c r="F30" s="4" t="s">
        <v>89</v>
      </c>
    </row>
    <row r="31" customFormat="false" ht="29" hidden="false" customHeight="true" outlineLevel="0" collapsed="false">
      <c r="A31" s="4" t="s">
        <v>42</v>
      </c>
      <c r="B31" s="4" t="n">
        <v>1</v>
      </c>
      <c r="C31" s="4" t="s">
        <v>70</v>
      </c>
      <c r="D31" s="4" t="s">
        <v>73</v>
      </c>
      <c r="E31" s="4" t="s">
        <v>85</v>
      </c>
      <c r="F31" s="4" t="s">
        <v>100</v>
      </c>
    </row>
    <row r="32" customFormat="false" ht="29" hidden="false" customHeight="true" outlineLevel="0" collapsed="false">
      <c r="A32" s="4" t="s">
        <v>42</v>
      </c>
      <c r="B32" s="4" t="n">
        <v>2</v>
      </c>
      <c r="C32" s="4" t="s">
        <v>79</v>
      </c>
      <c r="D32" s="4" t="s">
        <v>82</v>
      </c>
      <c r="E32" s="4" t="s">
        <v>81</v>
      </c>
      <c r="F32" s="4" t="s">
        <v>95</v>
      </c>
    </row>
    <row r="33" customFormat="false" ht="29" hidden="false" customHeight="true" outlineLevel="0" collapsed="false">
      <c r="A33" s="4" t="s">
        <v>42</v>
      </c>
      <c r="B33" s="4" t="n">
        <v>3</v>
      </c>
      <c r="C33" s="4" t="s">
        <v>70</v>
      </c>
      <c r="D33" s="4" t="s">
        <v>73</v>
      </c>
      <c r="E33" s="4" t="s">
        <v>77</v>
      </c>
      <c r="F33" s="4" t="s">
        <v>97</v>
      </c>
    </row>
    <row r="34" customFormat="false" ht="29" hidden="false" customHeight="true" outlineLevel="0" collapsed="false">
      <c r="A34" s="4" t="s">
        <v>42</v>
      </c>
      <c r="B34" s="4" t="n">
        <v>4</v>
      </c>
      <c r="C34" s="4" t="s">
        <v>70</v>
      </c>
      <c r="D34" s="4" t="s">
        <v>72</v>
      </c>
      <c r="E34" s="4" t="s">
        <v>92</v>
      </c>
      <c r="F34" s="4" t="s">
        <v>99</v>
      </c>
    </row>
    <row r="35" customFormat="false" ht="29" hidden="false" customHeight="true" outlineLevel="0" collapsed="false">
      <c r="A35" s="4" t="s">
        <v>42</v>
      </c>
      <c r="B35" s="4" t="n">
        <v>5</v>
      </c>
      <c r="C35" s="4" t="s">
        <v>79</v>
      </c>
      <c r="D35" s="4" t="s">
        <v>81</v>
      </c>
      <c r="E35" s="4" t="s">
        <v>82</v>
      </c>
      <c r="F35" s="4" t="s">
        <v>101</v>
      </c>
    </row>
    <row r="36" customFormat="false" ht="29" hidden="false" customHeight="true" outlineLevel="0" collapsed="false">
      <c r="A36" s="4" t="s">
        <v>42</v>
      </c>
      <c r="B36" s="4" t="n">
        <v>6</v>
      </c>
      <c r="C36" s="4" t="s">
        <v>70</v>
      </c>
      <c r="D36" s="4" t="s">
        <v>88</v>
      </c>
      <c r="E36" s="4" t="s">
        <v>85</v>
      </c>
      <c r="F36" s="4" t="s">
        <v>102</v>
      </c>
    </row>
    <row r="37" customFormat="false" ht="29" hidden="false" customHeight="true" outlineLevel="0" collapsed="false">
      <c r="A37" s="4" t="s">
        <v>43</v>
      </c>
      <c r="B37" s="4" t="n">
        <v>1</v>
      </c>
      <c r="C37" s="4" t="s">
        <v>79</v>
      </c>
      <c r="D37" s="4" t="s">
        <v>82</v>
      </c>
      <c r="E37" s="4" t="s">
        <v>81</v>
      </c>
      <c r="F37" s="4" t="s">
        <v>95</v>
      </c>
    </row>
    <row r="38" customFormat="false" ht="29" hidden="false" customHeight="true" outlineLevel="0" collapsed="false">
      <c r="A38" s="4" t="s">
        <v>43</v>
      </c>
      <c r="B38" s="4" t="n">
        <v>2</v>
      </c>
      <c r="C38" s="4" t="s">
        <v>70</v>
      </c>
      <c r="D38" s="4" t="s">
        <v>85</v>
      </c>
      <c r="E38" s="4" t="s">
        <v>88</v>
      </c>
      <c r="F38" s="4" t="s">
        <v>102</v>
      </c>
    </row>
    <row r="39" customFormat="false" ht="29" hidden="false" customHeight="true" outlineLevel="0" collapsed="false">
      <c r="A39" s="4" t="s">
        <v>43</v>
      </c>
      <c r="B39" s="4" t="n">
        <v>3</v>
      </c>
      <c r="C39" s="4" t="s">
        <v>70</v>
      </c>
      <c r="D39" s="4" t="s">
        <v>73</v>
      </c>
      <c r="E39" s="4" t="s">
        <v>92</v>
      </c>
      <c r="F39" s="4" t="s">
        <v>103</v>
      </c>
    </row>
    <row r="40" customFormat="false" ht="29" hidden="false" customHeight="true" outlineLevel="0" collapsed="false">
      <c r="A40" s="4" t="s">
        <v>43</v>
      </c>
      <c r="B40" s="4" t="n">
        <v>4</v>
      </c>
      <c r="C40" s="4" t="s">
        <v>79</v>
      </c>
      <c r="D40" s="4" t="s">
        <v>81</v>
      </c>
      <c r="E40" s="4" t="s">
        <v>82</v>
      </c>
      <c r="F40" s="4" t="s">
        <v>104</v>
      </c>
    </row>
    <row r="41" customFormat="false" ht="29" hidden="false" customHeight="true" outlineLevel="0" collapsed="false">
      <c r="A41" s="4" t="s">
        <v>43</v>
      </c>
      <c r="B41" s="4" t="n">
        <v>5</v>
      </c>
      <c r="C41" s="4" t="s">
        <v>70</v>
      </c>
      <c r="D41" s="4" t="s">
        <v>85</v>
      </c>
      <c r="E41" s="4" t="s">
        <v>73</v>
      </c>
      <c r="F41" s="4" t="s">
        <v>100</v>
      </c>
    </row>
    <row r="42" customFormat="false" ht="29" hidden="false" customHeight="true" outlineLevel="0" collapsed="false">
      <c r="A42" s="4" t="s">
        <v>43</v>
      </c>
      <c r="B42" s="4" t="n">
        <v>6</v>
      </c>
      <c r="C42" s="4" t="s">
        <v>70</v>
      </c>
      <c r="D42" s="4" t="s">
        <v>88</v>
      </c>
      <c r="E42" s="4" t="s">
        <v>77</v>
      </c>
      <c r="F42" s="4" t="s">
        <v>105</v>
      </c>
    </row>
    <row r="43" customFormat="false" ht="29" hidden="false" customHeight="true" outlineLevel="0" collapsed="false">
      <c r="A43" s="4" t="s">
        <v>44</v>
      </c>
      <c r="B43" s="4" t="n">
        <v>1</v>
      </c>
      <c r="C43" s="4" t="s">
        <v>70</v>
      </c>
      <c r="D43" s="4" t="s">
        <v>92</v>
      </c>
      <c r="E43" s="4" t="s">
        <v>73</v>
      </c>
      <c r="F43" s="4" t="s">
        <v>103</v>
      </c>
    </row>
    <row r="44" customFormat="false" ht="29" hidden="false" customHeight="true" outlineLevel="0" collapsed="false">
      <c r="A44" s="4" t="s">
        <v>44</v>
      </c>
      <c r="B44" s="4" t="n">
        <v>2</v>
      </c>
      <c r="C44" s="4" t="s">
        <v>70</v>
      </c>
      <c r="D44" s="4" t="s">
        <v>77</v>
      </c>
      <c r="E44" s="4" t="s">
        <v>72</v>
      </c>
      <c r="F44" s="4" t="s">
        <v>106</v>
      </c>
    </row>
    <row r="45" customFormat="false" ht="29" hidden="false" customHeight="true" outlineLevel="0" collapsed="false">
      <c r="A45" s="4" t="s">
        <v>44</v>
      </c>
      <c r="B45" s="4" t="n">
        <v>3</v>
      </c>
      <c r="C45" s="4" t="s">
        <v>79</v>
      </c>
      <c r="D45" s="4" t="s">
        <v>82</v>
      </c>
      <c r="E45" s="4" t="s">
        <v>81</v>
      </c>
      <c r="F45" s="4" t="s">
        <v>101</v>
      </c>
    </row>
    <row r="46" customFormat="false" ht="29" hidden="false" customHeight="true" outlineLevel="0" collapsed="false">
      <c r="A46" s="4" t="s">
        <v>44</v>
      </c>
      <c r="B46" s="4" t="n">
        <v>4</v>
      </c>
      <c r="C46" s="4" t="s">
        <v>70</v>
      </c>
      <c r="D46" s="4" t="s">
        <v>92</v>
      </c>
      <c r="E46" s="4" t="s">
        <v>85</v>
      </c>
      <c r="F46" s="4" t="s">
        <v>107</v>
      </c>
    </row>
    <row r="47" customFormat="false" ht="29" hidden="false" customHeight="true" outlineLevel="0" collapsed="false">
      <c r="A47" s="4" t="s">
        <v>44</v>
      </c>
      <c r="B47" s="4" t="n">
        <v>5</v>
      </c>
      <c r="C47" s="4" t="s">
        <v>70</v>
      </c>
      <c r="D47" s="4" t="s">
        <v>77</v>
      </c>
      <c r="E47" s="4" t="s">
        <v>88</v>
      </c>
      <c r="F47" s="4" t="s">
        <v>105</v>
      </c>
    </row>
    <row r="48" customFormat="false" ht="29" hidden="false" customHeight="true" outlineLevel="0" collapsed="false">
      <c r="A48" s="4" t="s">
        <v>44</v>
      </c>
      <c r="B48" s="4" t="n">
        <v>6</v>
      </c>
      <c r="C48" s="4" t="s">
        <v>79</v>
      </c>
      <c r="D48" s="4" t="s">
        <v>81</v>
      </c>
      <c r="E48" s="4" t="s">
        <v>82</v>
      </c>
      <c r="F48" s="4" t="s">
        <v>95</v>
      </c>
    </row>
    <row r="49" customFormat="false" ht="29" hidden="false" customHeight="true" outlineLevel="0" collapsed="false">
      <c r="A49" s="4" t="s">
        <v>45</v>
      </c>
      <c r="B49" s="4" t="n">
        <v>1</v>
      </c>
      <c r="C49" s="4" t="s">
        <v>70</v>
      </c>
      <c r="D49" s="4" t="s">
        <v>85</v>
      </c>
      <c r="E49" s="4" t="s">
        <v>76</v>
      </c>
      <c r="F49" s="4" t="s">
        <v>108</v>
      </c>
    </row>
    <row r="50" customFormat="false" ht="29" hidden="false" customHeight="true" outlineLevel="0" collapsed="false">
      <c r="A50" s="4" t="s">
        <v>45</v>
      </c>
      <c r="B50" s="4" t="n">
        <v>2</v>
      </c>
      <c r="C50" s="4" t="s">
        <v>79</v>
      </c>
      <c r="D50" s="4" t="s">
        <v>81</v>
      </c>
      <c r="E50" s="4" t="s">
        <v>82</v>
      </c>
      <c r="F50" s="4" t="s">
        <v>93</v>
      </c>
    </row>
    <row r="51" customFormat="false" ht="29" hidden="false" customHeight="true" outlineLevel="0" collapsed="false">
      <c r="A51" s="4" t="s">
        <v>45</v>
      </c>
      <c r="B51" s="4" t="n">
        <v>3</v>
      </c>
      <c r="C51" s="4" t="s">
        <v>70</v>
      </c>
      <c r="D51" s="4" t="s">
        <v>88</v>
      </c>
      <c r="E51" s="4" t="s">
        <v>72</v>
      </c>
      <c r="F51" s="4" t="s">
        <v>109</v>
      </c>
    </row>
    <row r="52" customFormat="false" ht="29" hidden="false" customHeight="true" outlineLevel="0" collapsed="false">
      <c r="A52" s="4" t="s">
        <v>45</v>
      </c>
      <c r="B52" s="4" t="n">
        <v>4</v>
      </c>
      <c r="C52" s="4" t="s">
        <v>70</v>
      </c>
      <c r="D52" s="4" t="s">
        <v>85</v>
      </c>
      <c r="E52" s="4" t="s">
        <v>92</v>
      </c>
      <c r="F52" s="4" t="s">
        <v>107</v>
      </c>
    </row>
    <row r="53" customFormat="false" ht="29" hidden="false" customHeight="true" outlineLevel="0" collapsed="false">
      <c r="A53" s="4" t="s">
        <v>45</v>
      </c>
      <c r="B53" s="4" t="n">
        <v>5</v>
      </c>
      <c r="C53" s="4" t="s">
        <v>79</v>
      </c>
      <c r="D53" s="4" t="s">
        <v>82</v>
      </c>
      <c r="E53" s="4" t="s">
        <v>81</v>
      </c>
      <c r="F53" s="4" t="s">
        <v>80</v>
      </c>
    </row>
    <row r="54" customFormat="false" ht="29" hidden="false" customHeight="true" outlineLevel="0" collapsed="false">
      <c r="A54" s="4" t="s">
        <v>45</v>
      </c>
      <c r="B54" s="4" t="n">
        <v>6</v>
      </c>
      <c r="C54" s="4" t="s">
        <v>70</v>
      </c>
      <c r="D54" s="4" t="s">
        <v>72</v>
      </c>
      <c r="E54" s="4" t="s">
        <v>77</v>
      </c>
      <c r="F54" s="4" t="s">
        <v>106</v>
      </c>
    </row>
    <row r="55" customFormat="false" ht="29" hidden="false" customHeight="true" outlineLevel="0" collapsed="false">
      <c r="A55" s="4" t="s">
        <v>46</v>
      </c>
      <c r="B55" s="4" t="n">
        <v>1</v>
      </c>
      <c r="C55" s="4" t="s">
        <v>79</v>
      </c>
      <c r="D55" s="4" t="s">
        <v>81</v>
      </c>
      <c r="E55" s="4" t="s">
        <v>82</v>
      </c>
      <c r="F55" s="4" t="s">
        <v>110</v>
      </c>
    </row>
    <row r="56" customFormat="false" ht="29" hidden="false" customHeight="true" outlineLevel="0" collapsed="false">
      <c r="A56" s="4" t="s">
        <v>46</v>
      </c>
      <c r="B56" s="4" t="n">
        <v>2</v>
      </c>
      <c r="C56" s="4" t="s">
        <v>70</v>
      </c>
      <c r="D56" s="4" t="s">
        <v>76</v>
      </c>
      <c r="E56" s="4" t="s">
        <v>85</v>
      </c>
      <c r="F56" s="4" t="s">
        <v>108</v>
      </c>
    </row>
    <row r="57" customFormat="false" ht="29" hidden="false" customHeight="true" outlineLevel="0" collapsed="false">
      <c r="A57" s="4" t="s">
        <v>46</v>
      </c>
      <c r="B57" s="4" t="n">
        <v>3</v>
      </c>
      <c r="C57" s="4" t="s">
        <v>70</v>
      </c>
      <c r="D57" s="4" t="s">
        <v>92</v>
      </c>
      <c r="E57" s="4" t="s">
        <v>77</v>
      </c>
      <c r="F57" s="4" t="s">
        <v>111</v>
      </c>
    </row>
    <row r="58" customFormat="false" ht="29" hidden="false" customHeight="true" outlineLevel="0" collapsed="false">
      <c r="A58" s="4" t="s">
        <v>46</v>
      </c>
      <c r="B58" s="4" t="n">
        <v>4</v>
      </c>
      <c r="C58" s="4" t="s">
        <v>79</v>
      </c>
      <c r="D58" s="4" t="s">
        <v>82</v>
      </c>
      <c r="E58" s="4" t="s">
        <v>81</v>
      </c>
      <c r="F58" s="4" t="s">
        <v>104</v>
      </c>
    </row>
    <row r="59" customFormat="false" ht="29" hidden="false" customHeight="true" outlineLevel="0" collapsed="false">
      <c r="A59" s="4" t="s">
        <v>46</v>
      </c>
      <c r="B59" s="4" t="n">
        <v>5</v>
      </c>
      <c r="C59" s="4" t="s">
        <v>70</v>
      </c>
      <c r="D59" s="4" t="s">
        <v>77</v>
      </c>
      <c r="E59" s="4" t="s">
        <v>88</v>
      </c>
      <c r="F59" s="4" t="s">
        <v>105</v>
      </c>
    </row>
    <row r="60" customFormat="false" ht="29" hidden="false" customHeight="true" outlineLevel="0" collapsed="false">
      <c r="A60" s="4" t="s">
        <v>46</v>
      </c>
      <c r="B60" s="4" t="n">
        <v>6</v>
      </c>
      <c r="C60" s="4" t="s">
        <v>70</v>
      </c>
      <c r="D60" s="4" t="s">
        <v>72</v>
      </c>
      <c r="E60" s="4" t="s">
        <v>88</v>
      </c>
      <c r="F60" s="4" t="s">
        <v>109</v>
      </c>
    </row>
    <row r="61" customFormat="false" ht="29" hidden="false" customHeight="true" outlineLevel="0" collapsed="false">
      <c r="A61" s="4" t="s">
        <v>47</v>
      </c>
      <c r="B61" s="4" t="n">
        <v>1</v>
      </c>
      <c r="C61" s="4" t="s">
        <v>70</v>
      </c>
      <c r="D61" s="4" t="s">
        <v>88</v>
      </c>
      <c r="E61" s="4" t="s">
        <v>73</v>
      </c>
      <c r="F61" s="4" t="s">
        <v>112</v>
      </c>
    </row>
    <row r="62" customFormat="false" ht="29" hidden="false" customHeight="true" outlineLevel="0" collapsed="false">
      <c r="A62" s="4" t="s">
        <v>47</v>
      </c>
      <c r="B62" s="4" t="n">
        <v>2</v>
      </c>
      <c r="C62" s="4" t="s">
        <v>70</v>
      </c>
      <c r="D62" s="4" t="s">
        <v>88</v>
      </c>
      <c r="E62" s="4" t="s">
        <v>77</v>
      </c>
      <c r="F62" s="4" t="s">
        <v>105</v>
      </c>
    </row>
    <row r="63" customFormat="false" ht="29" hidden="false" customHeight="true" outlineLevel="0" collapsed="false">
      <c r="A63" s="4" t="s">
        <v>47</v>
      </c>
      <c r="B63" s="4" t="n">
        <v>3</v>
      </c>
      <c r="C63" s="4" t="s">
        <v>79</v>
      </c>
      <c r="D63" s="4" t="s">
        <v>81</v>
      </c>
      <c r="E63" s="4" t="s">
        <v>82</v>
      </c>
      <c r="F63" s="4" t="s">
        <v>113</v>
      </c>
    </row>
    <row r="64" customFormat="false" ht="29" hidden="false" customHeight="true" outlineLevel="0" collapsed="false">
      <c r="A64" s="4" t="s">
        <v>47</v>
      </c>
      <c r="B64" s="4" t="n">
        <v>4</v>
      </c>
      <c r="C64" s="4" t="s">
        <v>70</v>
      </c>
      <c r="D64" s="4" t="s">
        <v>76</v>
      </c>
      <c r="E64" s="4" t="s">
        <v>92</v>
      </c>
      <c r="F64" s="4" t="s">
        <v>114</v>
      </c>
    </row>
    <row r="65" customFormat="false" ht="29" hidden="false" customHeight="true" outlineLevel="0" collapsed="false">
      <c r="A65" s="4" t="s">
        <v>47</v>
      </c>
      <c r="B65" s="4" t="n">
        <v>5</v>
      </c>
      <c r="C65" s="4" t="s">
        <v>70</v>
      </c>
      <c r="D65" s="4" t="s">
        <v>77</v>
      </c>
      <c r="E65" s="4" t="s">
        <v>92</v>
      </c>
      <c r="F65" s="4" t="s">
        <v>111</v>
      </c>
    </row>
    <row r="66" customFormat="false" ht="29" hidden="false" customHeight="true" outlineLevel="0" collapsed="false">
      <c r="A66" s="4" t="s">
        <v>47</v>
      </c>
      <c r="B66" s="4" t="n">
        <v>6</v>
      </c>
      <c r="C66" s="4" t="s">
        <v>79</v>
      </c>
      <c r="D66" s="4" t="s">
        <v>82</v>
      </c>
      <c r="E66" s="4" t="s">
        <v>81</v>
      </c>
      <c r="F66" s="4" t="s">
        <v>110</v>
      </c>
    </row>
    <row r="67" customFormat="false" ht="29" hidden="false" customHeight="true" outlineLevel="0" collapsed="false">
      <c r="A67" s="4" t="s">
        <v>48</v>
      </c>
      <c r="B67" s="4" t="n">
        <v>1</v>
      </c>
      <c r="C67" s="4" t="s">
        <v>70</v>
      </c>
      <c r="D67" s="4" t="s">
        <v>73</v>
      </c>
      <c r="E67" s="4" t="s">
        <v>88</v>
      </c>
      <c r="F67" s="4" t="s">
        <v>112</v>
      </c>
    </row>
    <row r="68" customFormat="false" ht="29" hidden="false" customHeight="true" outlineLevel="0" collapsed="false">
      <c r="A68" s="4" t="s">
        <v>48</v>
      </c>
      <c r="B68" s="4" t="n">
        <v>2</v>
      </c>
      <c r="C68" s="4" t="s">
        <v>79</v>
      </c>
      <c r="D68" s="4" t="s">
        <v>82</v>
      </c>
      <c r="E68" s="4" t="s">
        <v>81</v>
      </c>
      <c r="F68" s="4" t="s">
        <v>113</v>
      </c>
    </row>
    <row r="69" customFormat="false" ht="29" hidden="false" customHeight="true" outlineLevel="0" collapsed="false">
      <c r="A69" s="4" t="s">
        <v>48</v>
      </c>
      <c r="B69" s="4" t="n">
        <v>3</v>
      </c>
      <c r="C69" s="4" t="s">
        <v>70</v>
      </c>
      <c r="D69" s="4" t="s">
        <v>85</v>
      </c>
      <c r="E69" s="4" t="s">
        <v>77</v>
      </c>
      <c r="F69" s="4" t="s">
        <v>84</v>
      </c>
    </row>
    <row r="70" customFormat="false" ht="29" hidden="false" customHeight="true" outlineLevel="0" collapsed="false">
      <c r="A70" s="4" t="s">
        <v>48</v>
      </c>
      <c r="B70" s="4" t="n">
        <v>4</v>
      </c>
      <c r="C70" s="4" t="s">
        <v>70</v>
      </c>
      <c r="D70" s="4" t="s">
        <v>92</v>
      </c>
      <c r="E70" s="4" t="s">
        <v>76</v>
      </c>
      <c r="F70" s="4" t="s">
        <v>114</v>
      </c>
    </row>
    <row r="71" customFormat="false" ht="29" hidden="false" customHeight="true" outlineLevel="0" collapsed="false">
      <c r="A71" s="4" t="s">
        <v>48</v>
      </c>
      <c r="B71" s="4" t="n">
        <v>5</v>
      </c>
      <c r="C71" s="4" t="s">
        <v>79</v>
      </c>
      <c r="D71" s="4" t="s">
        <v>81</v>
      </c>
      <c r="E71" s="4" t="s">
        <v>82</v>
      </c>
      <c r="F71" s="4" t="s">
        <v>86</v>
      </c>
    </row>
    <row r="72" customFormat="false" ht="29" hidden="false" customHeight="true" outlineLevel="0" collapsed="false">
      <c r="A72" s="4" t="s">
        <v>48</v>
      </c>
      <c r="B72" s="4" t="n">
        <v>6</v>
      </c>
      <c r="C72" s="4" t="s">
        <v>70</v>
      </c>
      <c r="D72" s="4" t="s">
        <v>73</v>
      </c>
      <c r="E72" s="4" t="s">
        <v>72</v>
      </c>
      <c r="F72" s="4" t="s">
        <v>71</v>
      </c>
    </row>
  </sheetData>
  <sheetProtection sheet="true" objects="true" scenarios="true" formatColumns="false" formatRows="false" autoFilter="false"/>
  <autoFilter ref="A6:F72"/>
  <mergeCells count="2">
    <mergeCell ref="A1:F1"/>
    <mergeCell ref="A2:F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2026-09-21T23:59:45Z</dcterms:created>
  <dc:creator>Research team</dc:creator>
  <dc:description>Actual PDF responses. V04 cover confirmations missing; excluded pending confirmation.</dc:description>
  <dc:language>en-US</dc:language>
  <cp:lastModifiedBy>Research team</cp:lastModifiedBy>
  <dcterms:modified xsi:type="dcterms:W3CDTF">2026-09-21T23:59:45Z</dcterms:modified>
  <cp:revision>0</cp:revision>
  <dc:subject/>
  <dc:title>Agora visual survey: returned responses, 2026-09-23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