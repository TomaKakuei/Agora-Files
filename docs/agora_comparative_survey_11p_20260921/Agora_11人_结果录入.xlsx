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使用说明" sheetId="1" r:id="rId1"/>
    <sheet name="参与者登记" sheetId="2" r:id="rId2"/>
    <sheet name="评分录入" sheetId="3" r:id="rId3"/>
    <sheet name="架构汇总" sheetId="4" r:id="rId4"/>
    <sheet name="模型汇总" sheetId="5" r:id="rId5"/>
    <sheet name="逐题汇总" sheetId="6" r:id="rId6"/>
    <sheet name="分配与解盲" sheetId="7" r:id="rId7"/>
  </sheets>
  <definedNames>
    <definedName name="_xlnm._FilterDatabase" localSheetId="6" hidden="1">分配与解盲!$A$6:$G$72</definedName>
    <definedName name="_xlnm._FilterDatabase" localSheetId="1" hidden="1">参与者登记!$A$6:$L$17</definedName>
    <definedName name="_xlnm._FilterDatabase" localSheetId="4" hidden="1">模型汇总!$A$6:$J$27</definedName>
    <definedName name="_xlnm._FilterDatabase" localSheetId="2" hidden="1">评分录入!$A$6:$M$72</definedName>
    <definedName name="_xlnm._FilterDatabase" localSheetId="5" hidden="1">逐题汇总!$A$6:$M$312</definedName>
    <definedName name="_xlnm.Print_Area" localSheetId="0">使用说明!$B$2:$H$19</definedName>
    <definedName name="_xlnm.Print_Titles" localSheetId="6">分配与解盲!$6:$6</definedName>
    <definedName name="_xlnm.Print_Titles" localSheetId="1">参与者登记!$6:$6</definedName>
    <definedName name="_xlnm.Print_Titles" localSheetId="3">架构汇总!$6:$6</definedName>
    <definedName name="_xlnm.Print_Titles" localSheetId="4">模型汇总!$6:$6</definedName>
    <definedName name="_xlnm.Print_Titles" localSheetId="2">评分录入!$6:$6</definedName>
    <definedName name="_xlnm.Print_Titles" localSheetId="5">逐题汇总!$6:$6</definedName>
  </definedNames>
  <calcPr calcId="124519" fullCalcOnLoad="1"/>
</workbook>
</file>

<file path=xl/sharedStrings.xml><?xml version="1.0" encoding="utf-8"?>
<sst xmlns="http://schemas.openxmlformats.org/spreadsheetml/2006/main" count="2639" uniqueCount="196">
  <si>
    <t>11 人问卷 · 结果录入工作簿</t>
  </si>
  <si>
    <t>先分发</t>
  </si>
  <si>
    <t>Q01–Q11 分别给 11 位不同参与者；每人只拿对应的 Word 或 PDF。不要把本 Excel、全部问卷或解盲文件给受试者。</t>
  </si>
  <si>
    <t>再登记</t>
  </si>
  <si>
    <t>在“参与者登记”的蓝色单元格填写回收、三个同意/资格确认、既往接触、可选背景。没有真实答卷时保持空白。编号不可重复。</t>
  </si>
  <si>
    <t>录入评分</t>
  </si>
  <si>
    <t>在“评分录入”按编号与场次填写 6 个数字。1=A明显；2=A略好；3=相当；4=B略好；5=B明显；6=无法判断。每人 6 场，共 36 项。</t>
  </si>
  <si>
    <t>可选信息</t>
  </si>
  <si>
    <t>两份都不足、评论、经验、用时与评论引用同意可留空。未明确同意评论引用时，不引用。请不要在此表写姓名、邮箱或招募联系人。</t>
  </si>
  <si>
    <t>哪些回答纳入</t>
  </si>
  <si>
    <t>仅“已回收=是”、年龄/英文/同意均=是、既往接触=没有、36 项评分全部有效的参与者进入汇总。未回收、待补录或被排除的回答均不计入。</t>
  </si>
  <si>
    <t>如何计算</t>
  </si>
  <si>
    <t>A/B 按每份问卷独立解盲。主要终点把明显/略好合并为偏好；胜=1、相当=0.5、负=0。无法判断单独计数，不当作相当、零分或败场。原始 1–6 评分完整保留。</t>
  </si>
  <si>
    <t>怎么看汇总</t>
  </si>
  <si>
    <t>架构按 10 个提示等权；模型按该两模型共同具备成品的提示等权。只有全部计划提示都有可判票时显示完整宏平均；缺失覆盖会显示“未完整覆盖”。不要按混合提示总票数排模型名次。</t>
  </si>
  <si>
    <t>样本边界</t>
  </si>
  <si>
    <t>11 人共 44 场模型、22 场架构评价。41 个精确模型/提示配对中 38 个只有 1 票、3 个有 2 票；9 个架构请求各 2 票、1 个有 4 票。模型结果为探索性描述，不是稳定排名。</t>
  </si>
  <si>
    <t>六个维度</t>
  </si>
  <si>
    <t>“总体世界设计”为主要终点；其余五维为诊断项目。“逐题汇总”保留六维各自的票数和缺失，不将六个维度加总成总分或当作六个独立受试者。</t>
  </si>
  <si>
    <t>材料边界</t>
  </si>
  <si>
    <t>英文原始证据，架构比较为实际且不等计算预算的配置。模型仅评价已有成功成品；无成品失败不能自动算成人工偏好败场。此表不含置信区间、p 值、显著性星号或 Elo。</t>
  </si>
  <si>
    <t>Excel 操作</t>
  </si>
  <si>
    <t>仅编辑蓝色格。灰色为冻结编号/分配，绿色为自动结果；工作表保护防止误改，不是保密措施。使用 Excel/LibreOffice 的自动计算；若结果未更新，请启用自动计算并重算。</t>
  </si>
  <si>
    <t>保存与回传</t>
  </si>
  <si>
    <t>请将填完的工作簿另存到本地独立文件夹。完整答卷和含评论的工作簿仅供研究者处理，不要上传公开 Git；本发布包只包含空白模板，没有真实受试者结果。</t>
  </si>
  <si>
    <t>版本：agora-paper-11p-20260921-v1  |  预定样本：11 人  |  分配种子：20260921</t>
  </si>
  <si>
    <t>参与者登记 · 11 份，11 位不同参与者</t>
  </si>
  <si>
    <t>先填蓝色格，再录入评分；请照原答卷填写，不能代填同意。可选项目空白不会影响纳入。</t>
  </si>
  <si>
    <t>编号</t>
  </si>
  <si>
    <t>已回收</t>
  </si>
  <si>
    <t>年满18岁</t>
  </si>
  <si>
    <t>能独立读英文</t>
  </si>
  <si>
    <t>同意参与</t>
  </si>
  <si>
    <t>既往开发/结果接触</t>
  </si>
  <si>
    <t>游戏经验（可选）</t>
  </si>
  <si>
    <t>同意评论引用（可选）</t>
  </si>
  <si>
    <t>用时/分钟（可选）</t>
  </si>
  <si>
    <t>有效评分项 / 36</t>
  </si>
  <si>
    <t>主要分析状态</t>
  </si>
  <si>
    <t>录入备注（不写身份）</t>
  </si>
  <si>
    <t>原始评分录入 · 66 场</t>
  </si>
  <si>
    <t>只填蓝色格。1=A明显；2=A略好；3=相当；4=B略好；5=B明显；6=无法判断。灰色的编号/场次与对应 PDF、Word 一致；模型和方法映射在右侧隐藏列。</t>
  </si>
  <si>
    <t>场次</t>
  </si>
  <si>
    <t>PDF材料 / 评分页</t>
  </si>
  <si>
    <t>总体</t>
  </si>
  <si>
    <t>设定</t>
  </si>
  <si>
    <t>规则</t>
  </si>
  <si>
    <t>人物</t>
  </si>
  <si>
    <t>地点</t>
  </si>
  <si>
    <t>行动</t>
  </si>
  <si>
    <t>两份都不足（可选）</t>
  </si>
  <si>
    <t>具体细节评论（可选）</t>
  </si>
  <si>
    <t>有效项/6</t>
  </si>
  <si>
    <t>类型</t>
  </si>
  <si>
    <t>提示ID</t>
  </si>
  <si>
    <t>A来源</t>
  </si>
  <si>
    <t>B来源</t>
  </si>
  <si>
    <t>条件1</t>
  </si>
  <si>
    <t>条件2</t>
  </si>
  <si>
    <t>总体条件1得分</t>
  </si>
  <si>
    <t>无法判断</t>
  </si>
  <si>
    <t>相当</t>
  </si>
  <si>
    <t>条件1胜</t>
  </si>
  <si>
    <t>条件2胜</t>
  </si>
  <si>
    <t>可判票</t>
  </si>
  <si>
    <t>设定实现条件1得分</t>
  </si>
  <si>
    <t>规则与活动条件1得分</t>
  </si>
  <si>
    <t>人物与社会联系条件1得分</t>
  </si>
  <si>
    <t>地点与物件条件1得分</t>
  </si>
  <si>
    <t>可设想的行动条件1得分</t>
  </si>
  <si>
    <t>Q01</t>
  </si>
  <si>
    <t>A 2 / B 3 / 评分 4</t>
  </si>
  <si>
    <t>模型</t>
  </si>
  <si>
    <t>lwb_hidden_v2_03</t>
  </si>
  <si>
    <t>Gemini 2.5 Flash</t>
  </si>
  <si>
    <t>Gemini 3.7 Flash</t>
  </si>
  <si>
    <t>A 5 / B 6 / 评分 7</t>
  </si>
  <si>
    <t>lwb_hidden_v2_01</t>
  </si>
  <si>
    <t>Gemini 3.1 Pro Preview</t>
  </si>
  <si>
    <t>Gemini 3.1 Flash Lite</t>
  </si>
  <si>
    <t>A 8 / B 9 / 评分 10</t>
  </si>
  <si>
    <t>架构</t>
  </si>
  <si>
    <t>cartographer_lung_exchange</t>
  </si>
  <si>
    <t>完整 Agora</t>
  </si>
  <si>
    <t>单次生成基线</t>
  </si>
  <si>
    <t>A 11 / B 12 / 评分 13</t>
  </si>
  <si>
    <t>lwb_hidden_v2_02</t>
  </si>
  <si>
    <t>GPT-5.6 Sol</t>
  </si>
  <si>
    <t>A 14 / B 15 / 评分 16</t>
  </si>
  <si>
    <t>GPT-5.6 Terra</t>
  </si>
  <si>
    <t>A 17 / B 18 / 评分 19</t>
  </si>
  <si>
    <t>clockwork_rain_conservatory</t>
  </si>
  <si>
    <t>Q02</t>
  </si>
  <si>
    <t>mycelium_patent_bazaar</t>
  </si>
  <si>
    <t>Gemini 3.5 Flash Lite</t>
  </si>
  <si>
    <t>aurora_court_of_migrating_cities</t>
  </si>
  <si>
    <t>Q03</t>
  </si>
  <si>
    <t>night_market_of_unfinished_weather</t>
  </si>
  <si>
    <t>archive_of_borrowed_gravity</t>
  </si>
  <si>
    <t>Q04</t>
  </si>
  <si>
    <t>tidal_embassy_of_lost_languages</t>
  </si>
  <si>
    <t>Q05</t>
  </si>
  <si>
    <t>museum_of_future_debts</t>
  </si>
  <si>
    <t>Q06</t>
  </si>
  <si>
    <t>intertidal_embassy_for_extinct_rivers</t>
  </si>
  <si>
    <t>Q07</t>
  </si>
  <si>
    <t>Q08</t>
  </si>
  <si>
    <t>Q09</t>
  </si>
  <si>
    <t>sunken_satellite_monastery</t>
  </si>
  <si>
    <t>Q10</t>
  </si>
  <si>
    <t>Q11</t>
  </si>
  <si>
    <t>逐提示 × 逐维度 · 所有 306 个单元</t>
  </si>
  <si>
    <t>胜 / 相当 / 负 = 1 / 0.5 / 0；无法判断不进入均值分母。每个项目独立汇总，原始“明显 / 略好”仍保存在评分录入。条件1/2仅用于固定解码，不代表新旧或优劣。</t>
  </si>
  <si>
    <t>维度</t>
  </si>
  <si>
    <t>计划评价数</t>
  </si>
  <si>
    <t>已纳入评价</t>
  </si>
  <si>
    <t>条件1偏好值</t>
  </si>
  <si>
    <t>总体世界设计</t>
  </si>
  <si>
    <t>设定实现</t>
  </si>
  <si>
    <t>规则与活动</t>
  </si>
  <si>
    <t>人物与社会联系</t>
  </si>
  <si>
    <t>地点与物件</t>
  </si>
  <si>
    <t>可设想的行动</t>
  </si>
  <si>
    <t>完整 Agora vs 单次生成基线</t>
  </si>
  <si>
    <t>主要终点：总体世界设计。逐请求显示票数；完整平均对 10 个请求等权。实际生成预算不相等，结果不能解释成同计算预算下的架构因果收益。</t>
  </si>
  <si>
    <t>共同请求</t>
  </si>
  <si>
    <t>计划评价</t>
  </si>
  <si>
    <t>纳入评价</t>
  </si>
  <si>
    <t>Agora胜</t>
  </si>
  <si>
    <t>基线胜</t>
  </si>
  <si>
    <t>Agora偏好值</t>
  </si>
  <si>
    <t>完整 10 请求等权平均</t>
  </si>
  <si>
    <t>已有可判票的请求数 / 10</t>
  </si>
  <si>
    <t>只有 10 个请求均有可判票，才显示完整宏平均。“相当”计半票；无法判断单列。当前模板没有任何真实评分。</t>
  </si>
  <si>
    <t>模型对决 · 21 组模型组合</t>
  </si>
  <si>
    <t>按两模型共同有成品的提示等权汇总，只在计划提示均有可判票时显示宏平均。41 个精确模型/提示配对多为单人评价；不据此生成总排名。</t>
  </si>
  <si>
    <t>模型1</t>
  </si>
  <si>
    <t>模型2</t>
  </si>
  <si>
    <t>计划共同提示</t>
  </si>
  <si>
    <t>有可判票提示</t>
  </si>
  <si>
    <t>模型1等权偏好值</t>
  </si>
  <si>
    <t>覆盖状态</t>
  </si>
  <si>
    <t>研究者专用 · 冻结分配映射</t>
  </si>
  <si>
    <t>此工作簿本身包含来源身份；不要发给参与者。隐藏列和工作表保护只防误改，不是访问控制。问卷上不显示模型或方法名。</t>
  </si>
  <si>
    <t>原始配对ID</t>
  </si>
  <si>
    <t>pnahdvfuuck</t>
  </si>
  <si>
    <t>pktk4d47f6b</t>
  </si>
  <si>
    <t>pshtgk9bhb8</t>
  </si>
  <si>
    <t>pyw4thkq8rt</t>
  </si>
  <si>
    <t>pyega4erk2n</t>
  </si>
  <si>
    <t>p99djg9fns3</t>
  </si>
  <si>
    <t>pgdgycds8sv</t>
  </si>
  <si>
    <t>pm36f3jqvfc</t>
  </si>
  <si>
    <t>pwtz9q7kmsh</t>
  </si>
  <si>
    <t>p3muu378r39</t>
  </si>
  <si>
    <t>p268pkt6x9s</t>
  </si>
  <si>
    <t>py9zbgpd6fc</t>
  </si>
  <si>
    <t>pgtsk9rzfxz</t>
  </si>
  <si>
    <t>pkmwb7u7g3n</t>
  </si>
  <si>
    <t>pg7898whx3f</t>
  </si>
  <si>
    <t>ppr7yrjpvsq</t>
  </si>
  <si>
    <t>pgu22spkfcc</t>
  </si>
  <si>
    <t>p648v347f9d</t>
  </si>
  <si>
    <t>pgt7734gb2e</t>
  </si>
  <si>
    <t>p2kbaew8fwf</t>
  </si>
  <si>
    <t>pkvc5vp8bjb</t>
  </si>
  <si>
    <t>pr9q8buqrwe</t>
  </si>
  <si>
    <t>pba8emhpy3a</t>
  </si>
  <si>
    <t>pb77h495mwy</t>
  </si>
  <si>
    <t>py6qjxbzc6h</t>
  </si>
  <si>
    <t>pqz6par2vck</t>
  </si>
  <si>
    <t>pg3xmy8pkvz</t>
  </si>
  <si>
    <t>pskvetzh884</t>
  </si>
  <si>
    <t>pj49wkawqm9</t>
  </si>
  <si>
    <t>pxy6w6bke2w</t>
  </si>
  <si>
    <t>pve74cbss7m</t>
  </si>
  <si>
    <t>p5v9ht32shd</t>
  </si>
  <si>
    <t>pt3e7zeu9qk</t>
  </si>
  <si>
    <t>p48nrgs79x5</t>
  </si>
  <si>
    <t>ps854uqtmnd</t>
  </si>
  <si>
    <t>pghm9nfb6bx</t>
  </si>
  <si>
    <t>p4n4wt973gs</t>
  </si>
  <si>
    <t>pnez9yz55kd</t>
  </si>
  <si>
    <t>p976e3srme7</t>
  </si>
  <si>
    <t>pjr89bu8zuw</t>
  </si>
  <si>
    <t>pqpfxmjtr95</t>
  </si>
  <si>
    <t>pu2u66q6c5g</t>
  </si>
  <si>
    <t>pe5t7ur8bj8</t>
  </si>
  <si>
    <t>pvaqy5w9p2n</t>
  </si>
  <si>
    <t>p45p4mj42fh</t>
  </si>
  <si>
    <t>pw5zc855zmu</t>
  </si>
  <si>
    <t>pph5dk26ghd</t>
  </si>
  <si>
    <t>p3s4vrde99z</t>
  </si>
  <si>
    <t>pgcjg4hkuva</t>
  </si>
  <si>
    <t>pfw7kwtz3xz</t>
  </si>
  <si>
    <t>psq5sbn3a92</t>
  </si>
</sst>
</file>

<file path=xl/styles.xml><?xml version="1.0" encoding="utf-8"?>
<styleSheet xmlns="http://schemas.openxmlformats.org/spreadsheetml/2006/main">
  <numFmts count="1">
    <numFmt numFmtId="164" formatCode="0.0%"/>
  </numFmts>
  <fonts count="6">
    <font>
      <sz val="11"/>
      <color theme="1"/>
      <name val="Calibri"/>
      <family val="2"/>
      <scheme val="minor"/>
    </font>
    <font>
      <b/>
      <sz val="20"/>
      <color rgb="FF20334A"/>
      <name val="Microsoft YaHei"/>
      <family val="2"/>
    </font>
    <font>
      <b/>
      <sz val="11"/>
      <color rgb="FFFFFFFF"/>
      <name val="Microsoft YaHei"/>
      <family val="2"/>
    </font>
    <font>
      <sz val="10"/>
      <color rgb="FF52677A"/>
      <name val="Microsoft YaHei"/>
      <family val="2"/>
    </font>
    <font>
      <sz val="10"/>
      <color theme="1"/>
      <name val="Microsoft YaHei"/>
      <family val="2"/>
    </font>
    <font>
      <sz val="11"/>
      <color rgb="FF195B97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087F83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EAF5FF"/>
        <bgColor indexed="64"/>
      </patternFill>
    </fill>
    <fill>
      <patternFill patternType="solid">
        <fgColor rgb="FFEDF6F3"/>
        <bgColor indexed="64"/>
      </patternFill>
    </fill>
  </fills>
  <borders count="2">
    <border>
      <left/>
      <right/>
      <top/>
      <bottom/>
      <diagonal/>
    </border>
    <border>
      <left style="thin">
        <color rgb="FFD6E2E9"/>
      </left>
      <right style="thin">
        <color rgb="FFD6E2E9"/>
      </right>
      <top style="thin">
        <color rgb="FFD6E2E9"/>
      </top>
      <bottom style="thin">
        <color rgb="FFD6E2E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 applyProtection="1">
      <alignment vertical="center" wrapText="1"/>
      <protection locked="0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/>
  </cellXfs>
  <cellStyles count="1">
    <cellStyle name="Normal" xfId="0" builtinId="0"/>
  </cellStyles>
  <dxfs count="2">
    <dxf>
      <font>
        <color rgb="FF14653E"/>
      </font>
      <fill>
        <patternFill>
          <bgColor rgb="FFDDF0E6"/>
        </patternFill>
      </fill>
    </dxf>
    <dxf>
      <font>
        <color rgb="FF855900"/>
      </font>
      <fill>
        <patternFill>
          <bgColor rgb="FFFFF1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87F83"/>
    <pageSetUpPr fitToPage="1"/>
  </sheetPr>
  <dimension ref="B2:H19"/>
  <sheetViews>
    <sheetView showGridLines="0" tabSelected="1" workbookViewId="0"/>
  </sheetViews>
  <sheetFormatPr defaultRowHeight="28" customHeight="1"/>
  <cols>
    <col min="1" max="1" width="4.7109375" customWidth="1"/>
    <col min="2" max="2" width="24.7109375" customWidth="1"/>
    <col min="3" max="8" width="14.7109375" customWidth="1"/>
  </cols>
  <sheetData>
    <row r="2" spans="2:8" ht="28" customHeight="1">
      <c r="B2" s="1" t="s">
        <v>0</v>
      </c>
      <c r="C2" s="1"/>
      <c r="D2" s="1"/>
      <c r="E2" s="1"/>
      <c r="F2" s="1"/>
      <c r="G2" s="1"/>
      <c r="H2" s="1"/>
    </row>
    <row r="3" spans="2:8" ht="28" customHeight="1">
      <c r="B3" s="1"/>
      <c r="C3" s="1"/>
      <c r="D3" s="1"/>
      <c r="E3" s="1"/>
      <c r="F3" s="1"/>
      <c r="G3" s="1"/>
      <c r="H3" s="1"/>
    </row>
    <row r="6" spans="2:8" ht="70" customHeight="1">
      <c r="B6" s="2" t="s">
        <v>1</v>
      </c>
      <c r="C6" s="3" t="s">
        <v>2</v>
      </c>
      <c r="D6" s="3"/>
      <c r="E6" s="3"/>
      <c r="F6" s="3"/>
      <c r="G6" s="3"/>
      <c r="H6" s="3"/>
    </row>
    <row r="7" spans="2:8" ht="70" customHeight="1">
      <c r="B7" s="2" t="s">
        <v>3</v>
      </c>
      <c r="C7" s="3" t="s">
        <v>4</v>
      </c>
      <c r="D7" s="3"/>
      <c r="E7" s="3"/>
      <c r="F7" s="3"/>
      <c r="G7" s="3"/>
      <c r="H7" s="3"/>
    </row>
    <row r="8" spans="2:8" ht="70" customHeight="1">
      <c r="B8" s="2" t="s">
        <v>5</v>
      </c>
      <c r="C8" s="3" t="s">
        <v>6</v>
      </c>
      <c r="D8" s="3"/>
      <c r="E8" s="3"/>
      <c r="F8" s="3"/>
      <c r="G8" s="3"/>
      <c r="H8" s="3"/>
    </row>
    <row r="9" spans="2:8" ht="70" customHeight="1">
      <c r="B9" s="2" t="s">
        <v>7</v>
      </c>
      <c r="C9" s="3" t="s">
        <v>8</v>
      </c>
      <c r="D9" s="3"/>
      <c r="E9" s="3"/>
      <c r="F9" s="3"/>
      <c r="G9" s="3"/>
      <c r="H9" s="3"/>
    </row>
    <row r="10" spans="2:8" ht="70" customHeight="1">
      <c r="B10" s="2" t="s">
        <v>9</v>
      </c>
      <c r="C10" s="3" t="s">
        <v>10</v>
      </c>
      <c r="D10" s="3"/>
      <c r="E10" s="3"/>
      <c r="F10" s="3"/>
      <c r="G10" s="3"/>
      <c r="H10" s="3"/>
    </row>
    <row r="11" spans="2:8" ht="70" customHeight="1">
      <c r="B11" s="2" t="s">
        <v>11</v>
      </c>
      <c r="C11" s="3" t="s">
        <v>12</v>
      </c>
      <c r="D11" s="3"/>
      <c r="E11" s="3"/>
      <c r="F11" s="3"/>
      <c r="G11" s="3"/>
      <c r="H11" s="3"/>
    </row>
    <row r="12" spans="2:8" ht="70" customHeight="1">
      <c r="B12" s="2" t="s">
        <v>13</v>
      </c>
      <c r="C12" s="3" t="s">
        <v>14</v>
      </c>
      <c r="D12" s="3"/>
      <c r="E12" s="3"/>
      <c r="F12" s="3"/>
      <c r="G12" s="3"/>
      <c r="H12" s="3"/>
    </row>
    <row r="13" spans="2:8" ht="70" customHeight="1">
      <c r="B13" s="2" t="s">
        <v>15</v>
      </c>
      <c r="C13" s="3" t="s">
        <v>16</v>
      </c>
      <c r="D13" s="3"/>
      <c r="E13" s="3"/>
      <c r="F13" s="3"/>
      <c r="G13" s="3"/>
      <c r="H13" s="3"/>
    </row>
    <row r="14" spans="2:8" ht="70" customHeight="1">
      <c r="B14" s="2" t="s">
        <v>17</v>
      </c>
      <c r="C14" s="3" t="s">
        <v>18</v>
      </c>
      <c r="D14" s="3"/>
      <c r="E14" s="3"/>
      <c r="F14" s="3"/>
      <c r="G14" s="3"/>
      <c r="H14" s="3"/>
    </row>
    <row r="15" spans="2:8" ht="70" customHeight="1">
      <c r="B15" s="2" t="s">
        <v>19</v>
      </c>
      <c r="C15" s="3" t="s">
        <v>20</v>
      </c>
      <c r="D15" s="3"/>
      <c r="E15" s="3"/>
      <c r="F15" s="3"/>
      <c r="G15" s="3"/>
      <c r="H15" s="3"/>
    </row>
    <row r="16" spans="2:8" ht="70" customHeight="1">
      <c r="B16" s="2" t="s">
        <v>21</v>
      </c>
      <c r="C16" s="3" t="s">
        <v>22</v>
      </c>
      <c r="D16" s="3"/>
      <c r="E16" s="3"/>
      <c r="F16" s="3"/>
      <c r="G16" s="3"/>
      <c r="H16" s="3"/>
    </row>
    <row r="17" spans="2:8" ht="70" customHeight="1">
      <c r="B17" s="2" t="s">
        <v>23</v>
      </c>
      <c r="C17" s="3" t="s">
        <v>24</v>
      </c>
      <c r="D17" s="3"/>
      <c r="E17" s="3"/>
      <c r="F17" s="3"/>
      <c r="G17" s="3"/>
      <c r="H17" s="3"/>
    </row>
    <row r="19" spans="2:8" ht="28" customHeight="1">
      <c r="B19" s="3" t="s">
        <v>25</v>
      </c>
      <c r="C19" s="3"/>
      <c r="D19" s="3"/>
      <c r="E19" s="3"/>
      <c r="F19" s="3"/>
      <c r="G19" s="3"/>
      <c r="H19" s="3"/>
    </row>
  </sheetData>
  <sheetProtection sheet="1" objects="1" scenarios="1"/>
  <mergeCells count="14">
    <mergeCell ref="B2:H3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B19:H19"/>
  </mergeCell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87F83"/>
    <pageSetUpPr fitToPage="1"/>
  </sheetPr>
  <dimension ref="A1:L17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8" customHeight="1"/>
  <cols>
    <col min="1" max="1" width="9.7109375" customWidth="1"/>
    <col min="6" max="9" width="19.7109375" customWidth="1"/>
    <col min="11" max="12" width="27.7109375" customWidth="1"/>
  </cols>
  <sheetData>
    <row r="1" spans="1:12" ht="36" customHeight="1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8" customHeight="1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8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spans="1:12" ht="42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</row>
    <row r="7" spans="1:12" ht="28" customHeight="1">
      <c r="A7" s="4" t="s">
        <v>70</v>
      </c>
      <c r="B7" s="5"/>
      <c r="C7" s="5"/>
      <c r="D7" s="5"/>
      <c r="E7" s="5"/>
      <c r="F7" s="5"/>
      <c r="G7" s="5"/>
      <c r="H7" s="5"/>
      <c r="I7" s="5"/>
      <c r="J7" s="6">
        <f>SUM('评分录入'!L7:L12)</f>
        <v>0</v>
      </c>
      <c r="K7" s="6" t="str">
        <f>IF(B7&lt;&gt;"是","待回收",IF(OR(C7="否",D7="否",E7="否"),"排除：资格/同意",IF(OR(C7&lt;&gt;"是",D7&lt;&gt;"是",E7&lt;&gt;"是",F7=""),"待核对：背景",IF(F7&lt;&gt;"没有","排除：既往接触",IF(J7&lt;&gt;36,"待补录评分","纳入")))))</f>
        <v>待回收</v>
      </c>
      <c r="L7" s="5"/>
    </row>
    <row r="8" spans="1:12" ht="28" customHeight="1">
      <c r="A8" s="4" t="s">
        <v>92</v>
      </c>
      <c r="B8" s="5"/>
      <c r="C8" s="5"/>
      <c r="D8" s="5"/>
      <c r="E8" s="5"/>
      <c r="F8" s="5"/>
      <c r="G8" s="5"/>
      <c r="H8" s="5"/>
      <c r="I8" s="5"/>
      <c r="J8" s="6">
        <f>SUM('评分录入'!L13:L18)</f>
        <v>0</v>
      </c>
      <c r="K8" s="6" t="str">
        <f>IF(B8&lt;&gt;"是","待回收",IF(OR(C8="否",D8="否",E8="否"),"排除：资格/同意",IF(OR(C8&lt;&gt;"是",D8&lt;&gt;"是",E8&lt;&gt;"是",F8=""),"待核对：背景",IF(F8&lt;&gt;"没有","排除：既往接触",IF(J8&lt;&gt;36,"待补录评分","纳入")))))</f>
        <v>待回收</v>
      </c>
      <c r="L8" s="5"/>
    </row>
    <row r="9" spans="1:12" ht="28" customHeight="1">
      <c r="A9" s="4" t="s">
        <v>96</v>
      </c>
      <c r="B9" s="5"/>
      <c r="C9" s="5"/>
      <c r="D9" s="5"/>
      <c r="E9" s="5"/>
      <c r="F9" s="5"/>
      <c r="G9" s="5"/>
      <c r="H9" s="5"/>
      <c r="I9" s="5"/>
      <c r="J9" s="6">
        <f>SUM('评分录入'!L19:L24)</f>
        <v>0</v>
      </c>
      <c r="K9" s="6" t="str">
        <f>IF(B9&lt;&gt;"是","待回收",IF(OR(C9="否",D9="否",E9="否"),"排除：资格/同意",IF(OR(C9&lt;&gt;"是",D9&lt;&gt;"是",E9&lt;&gt;"是",F9=""),"待核对：背景",IF(F9&lt;&gt;"没有","排除：既往接触",IF(J9&lt;&gt;36,"待补录评分","纳入")))))</f>
        <v>待回收</v>
      </c>
      <c r="L9" s="5"/>
    </row>
    <row r="10" spans="1:12" ht="28" customHeight="1">
      <c r="A10" s="4" t="s">
        <v>99</v>
      </c>
      <c r="B10" s="5"/>
      <c r="C10" s="5"/>
      <c r="D10" s="5"/>
      <c r="E10" s="5"/>
      <c r="F10" s="5"/>
      <c r="G10" s="5"/>
      <c r="H10" s="5"/>
      <c r="I10" s="5"/>
      <c r="J10" s="6">
        <f>SUM('评分录入'!L25:L30)</f>
        <v>0</v>
      </c>
      <c r="K10" s="6" t="str">
        <f>IF(B10&lt;&gt;"是","待回收",IF(OR(C10="否",D10="否",E10="否"),"排除：资格/同意",IF(OR(C10&lt;&gt;"是",D10&lt;&gt;"是",E10&lt;&gt;"是",F10=""),"待核对：背景",IF(F10&lt;&gt;"没有","排除：既往接触",IF(J10&lt;&gt;36,"待补录评分","纳入")))))</f>
        <v>待回收</v>
      </c>
      <c r="L10" s="5"/>
    </row>
    <row r="11" spans="1:12" ht="28" customHeight="1">
      <c r="A11" s="4" t="s">
        <v>101</v>
      </c>
      <c r="B11" s="5"/>
      <c r="C11" s="5"/>
      <c r="D11" s="5"/>
      <c r="E11" s="5"/>
      <c r="F11" s="5"/>
      <c r="G11" s="5"/>
      <c r="H11" s="5"/>
      <c r="I11" s="5"/>
      <c r="J11" s="6">
        <f>SUM('评分录入'!L31:L36)</f>
        <v>0</v>
      </c>
      <c r="K11" s="6" t="str">
        <f>IF(B11&lt;&gt;"是","待回收",IF(OR(C11="否",D11="否",E11="否"),"排除：资格/同意",IF(OR(C11&lt;&gt;"是",D11&lt;&gt;"是",E11&lt;&gt;"是",F11=""),"待核对：背景",IF(F11&lt;&gt;"没有","排除：既往接触",IF(J11&lt;&gt;36,"待补录评分","纳入")))))</f>
        <v>待回收</v>
      </c>
      <c r="L11" s="5"/>
    </row>
    <row r="12" spans="1:12" ht="28" customHeight="1">
      <c r="A12" s="4" t="s">
        <v>103</v>
      </c>
      <c r="B12" s="5"/>
      <c r="C12" s="5"/>
      <c r="D12" s="5"/>
      <c r="E12" s="5"/>
      <c r="F12" s="5"/>
      <c r="G12" s="5"/>
      <c r="H12" s="5"/>
      <c r="I12" s="5"/>
      <c r="J12" s="6">
        <f>SUM('评分录入'!L37:L42)</f>
        <v>0</v>
      </c>
      <c r="K12" s="6" t="str">
        <f>IF(B12&lt;&gt;"是","待回收",IF(OR(C12="否",D12="否",E12="否"),"排除：资格/同意",IF(OR(C12&lt;&gt;"是",D12&lt;&gt;"是",E12&lt;&gt;"是",F12=""),"待核对：背景",IF(F12&lt;&gt;"没有","排除：既往接触",IF(J12&lt;&gt;36,"待补录评分","纳入")))))</f>
        <v>待回收</v>
      </c>
      <c r="L12" s="5"/>
    </row>
    <row r="13" spans="1:12" ht="28" customHeight="1">
      <c r="A13" s="4" t="s">
        <v>105</v>
      </c>
      <c r="B13" s="5"/>
      <c r="C13" s="5"/>
      <c r="D13" s="5"/>
      <c r="E13" s="5"/>
      <c r="F13" s="5"/>
      <c r="G13" s="5"/>
      <c r="H13" s="5"/>
      <c r="I13" s="5"/>
      <c r="J13" s="6">
        <f>SUM('评分录入'!L43:L48)</f>
        <v>0</v>
      </c>
      <c r="K13" s="6" t="str">
        <f>IF(B13&lt;&gt;"是","待回收",IF(OR(C13="否",D13="否",E13="否"),"排除：资格/同意",IF(OR(C13&lt;&gt;"是",D13&lt;&gt;"是",E13&lt;&gt;"是",F13=""),"待核对：背景",IF(F13&lt;&gt;"没有","排除：既往接触",IF(J13&lt;&gt;36,"待补录评分","纳入")))))</f>
        <v>待回收</v>
      </c>
      <c r="L13" s="5"/>
    </row>
    <row r="14" spans="1:12" ht="28" customHeight="1">
      <c r="A14" s="4" t="s">
        <v>106</v>
      </c>
      <c r="B14" s="5"/>
      <c r="C14" s="5"/>
      <c r="D14" s="5"/>
      <c r="E14" s="5"/>
      <c r="F14" s="5"/>
      <c r="G14" s="5"/>
      <c r="H14" s="5"/>
      <c r="I14" s="5"/>
      <c r="J14" s="6">
        <f>SUM('评分录入'!L49:L54)</f>
        <v>0</v>
      </c>
      <c r="K14" s="6" t="str">
        <f>IF(B14&lt;&gt;"是","待回收",IF(OR(C14="否",D14="否",E14="否"),"排除：资格/同意",IF(OR(C14&lt;&gt;"是",D14&lt;&gt;"是",E14&lt;&gt;"是",F14=""),"待核对：背景",IF(F14&lt;&gt;"没有","排除：既往接触",IF(J14&lt;&gt;36,"待补录评分","纳入")))))</f>
        <v>待回收</v>
      </c>
      <c r="L14" s="5"/>
    </row>
    <row r="15" spans="1:12" ht="28" customHeight="1">
      <c r="A15" s="4" t="s">
        <v>107</v>
      </c>
      <c r="B15" s="5"/>
      <c r="C15" s="5"/>
      <c r="D15" s="5"/>
      <c r="E15" s="5"/>
      <c r="F15" s="5"/>
      <c r="G15" s="5"/>
      <c r="H15" s="5"/>
      <c r="I15" s="5"/>
      <c r="J15" s="6">
        <f>SUM('评分录入'!L55:L60)</f>
        <v>0</v>
      </c>
      <c r="K15" s="6" t="str">
        <f>IF(B15&lt;&gt;"是","待回收",IF(OR(C15="否",D15="否",E15="否"),"排除：资格/同意",IF(OR(C15&lt;&gt;"是",D15&lt;&gt;"是",E15&lt;&gt;"是",F15=""),"待核对：背景",IF(F15&lt;&gt;"没有","排除：既往接触",IF(J15&lt;&gt;36,"待补录评分","纳入")))))</f>
        <v>待回收</v>
      </c>
      <c r="L15" s="5"/>
    </row>
    <row r="16" spans="1:12" ht="28" customHeight="1">
      <c r="A16" s="4" t="s">
        <v>109</v>
      </c>
      <c r="B16" s="5"/>
      <c r="C16" s="5"/>
      <c r="D16" s="5"/>
      <c r="E16" s="5"/>
      <c r="F16" s="5"/>
      <c r="G16" s="5"/>
      <c r="H16" s="5"/>
      <c r="I16" s="5"/>
      <c r="J16" s="6">
        <f>SUM('评分录入'!L61:L66)</f>
        <v>0</v>
      </c>
      <c r="K16" s="6" t="str">
        <f>IF(B16&lt;&gt;"是","待回收",IF(OR(C16="否",D16="否",E16="否"),"排除：资格/同意",IF(OR(C16&lt;&gt;"是",D16&lt;&gt;"是",E16&lt;&gt;"是",F16=""),"待核对：背景",IF(F16&lt;&gt;"没有","排除：既往接触",IF(J16&lt;&gt;36,"待补录评分","纳入")))))</f>
        <v>待回收</v>
      </c>
      <c r="L16" s="5"/>
    </row>
    <row r="17" spans="1:12" ht="28" customHeight="1">
      <c r="A17" s="4" t="s">
        <v>110</v>
      </c>
      <c r="B17" s="5"/>
      <c r="C17" s="5"/>
      <c r="D17" s="5"/>
      <c r="E17" s="5"/>
      <c r="F17" s="5"/>
      <c r="G17" s="5"/>
      <c r="H17" s="5"/>
      <c r="I17" s="5"/>
      <c r="J17" s="6">
        <f>SUM('评分录入'!L67:L72)</f>
        <v>0</v>
      </c>
      <c r="K17" s="6" t="str">
        <f>IF(B17&lt;&gt;"是","待回收",IF(OR(C17="否",D17="否",E17="否"),"排除：资格/同意",IF(OR(C17&lt;&gt;"是",D17&lt;&gt;"是",E17&lt;&gt;"是",F17=""),"待核对：背景",IF(F17&lt;&gt;"没有","排除：既往接触",IF(J17&lt;&gt;36,"待补录评分","纳入")))))</f>
        <v>待回收</v>
      </c>
      <c r="L17" s="5"/>
    </row>
  </sheetData>
  <sheetProtection sheet="1" objects="1" scenarios="1" autoFilter="0"/>
  <autoFilter ref="A6:L17"/>
  <mergeCells count="2">
    <mergeCell ref="A1:L1"/>
    <mergeCell ref="A2:L4"/>
  </mergeCells>
  <conditionalFormatting sqref="K7:K17">
    <cfRule type="containsText" dxfId="0" priority="1" operator="containsText" text="纳入">
      <formula>NOT(ISERROR(SEARCH("纳入",K7)))</formula>
    </cfRule>
    <cfRule type="containsText" dxfId="1" priority="2" operator="containsText" text="排除">
      <formula>NOT(ISERROR(SEARCH("排除",K7)))</formula>
    </cfRule>
  </conditionalFormatting>
  <dataValidations count="8">
    <dataValidation type="list" allowBlank="1" showInputMessage="1" showErrorMessage="1" errorTitle="请使用列表中的选项" error="请按原始答卷录入；不要猜测或代填。" promptTitle="原样录入" prompt="留空表示尚未录入。" sqref="B7:B17">
      <formula1>"是,否"</formula1>
    </dataValidation>
    <dataValidation type="list" allowBlank="1" showInputMessage="1" showErrorMessage="1" errorTitle="请使用列表中的选项" error="请按原始答卷录入；不要猜测或代填。" promptTitle="原样录入" prompt="留空表示尚未录入。" sqref="C7:C17">
      <formula1>"是,否"</formula1>
    </dataValidation>
    <dataValidation type="list" allowBlank="1" showInputMessage="1" showErrorMessage="1" errorTitle="请使用列表中的选项" error="请按原始答卷录入；不要猜测或代填。" promptTitle="原样录入" prompt="留空表示尚未录入。" sqref="D7:D17">
      <formula1>"是,否"</formula1>
    </dataValidation>
    <dataValidation type="list" allowBlank="1" showInputMessage="1" showErrorMessage="1" errorTitle="请使用列表中的选项" error="请按原始答卷录入；不要猜测或代填。" promptTitle="原样录入" prompt="留空表示尚未录入。" sqref="E7:E17">
      <formula1>"是,否"</formula1>
    </dataValidation>
    <dataValidation type="list" allowBlank="1" showInputMessage="1" showErrorMessage="1" errorTitle="请使用列表中的选项" error="请按原始答卷录入；不要猜测或代填。" promptTitle="原样录入" prompt="留空表示尚未录入。" sqref="H7:H17">
      <formula1>"是,否"</formula1>
    </dataValidation>
    <dataValidation type="list" allowBlank="1" showInputMessage="1" showErrorMessage="1" errorTitle="请使用列表中的选项" error="请按原始答卷录入；不要猜测或代填。" promptTitle="原样录入" prompt="留空表示尚未录入。" sqref="F7:F17">
      <formula1>"没有,有,不确定"</formula1>
    </dataValidation>
    <dataValidation type="list" allowBlank="1" showInputMessage="1" showErrorMessage="1" errorTitle="请使用列表中的选项" error="请按原始答卷录入；不要猜测或代填。" promptTitle="原样录入" prompt="留空表示尚未录入。" sqref="G7:G17">
      <formula1>"没有,偶尔,经常,不回答"</formula1>
    </dataValidation>
    <dataValidation type="decimal" allowBlank="1" showInputMessage="1" showErrorMessage="1" sqref="I7:I17">
      <formula1>0</formula1>
      <formula2>1440</formula2>
    </dataValidation>
  </dataValidation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87F83"/>
    <pageSetUpPr fitToPage="1"/>
  </sheetPr>
  <dimension ref="A1:AD72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8" customHeight="1"/>
  <cols>
    <col min="1" max="2" width="8.7109375" customWidth="1"/>
    <col min="3" max="3" width="22.7109375" customWidth="1"/>
    <col min="4" max="9" width="9.7109375" customWidth="1"/>
    <col min="10" max="10" width="18.7109375" customWidth="1"/>
    <col min="11" max="11" width="45.7109375" customWidth="1"/>
    <col min="12" max="12" width="10.7109375" customWidth="1"/>
    <col min="13" max="13" width="23.7109375" customWidth="1"/>
    <col min="14" max="30" width="20.7109375" hidden="1" customWidth="1"/>
  </cols>
  <sheetData>
    <row r="1" spans="1:30" ht="36" customHeight="1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0" ht="28" customHeight="1">
      <c r="A2" s="3" t="s">
        <v>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30" ht="28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30" ht="2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spans="1:30" ht="42" customHeight="1">
      <c r="A6" s="2" t="s">
        <v>28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38</v>
      </c>
      <c r="N6" s="2" t="s">
        <v>53</v>
      </c>
      <c r="O6" s="2" t="s">
        <v>54</v>
      </c>
      <c r="P6" s="2" t="s">
        <v>55</v>
      </c>
      <c r="Q6" s="2" t="s">
        <v>56</v>
      </c>
      <c r="R6" s="2" t="s">
        <v>57</v>
      </c>
      <c r="S6" s="2" t="s">
        <v>58</v>
      </c>
      <c r="T6" s="2" t="s">
        <v>59</v>
      </c>
      <c r="U6" s="2" t="s">
        <v>60</v>
      </c>
      <c r="V6" s="2" t="s">
        <v>61</v>
      </c>
      <c r="W6" s="2" t="s">
        <v>62</v>
      </c>
      <c r="X6" s="2" t="s">
        <v>63</v>
      </c>
      <c r="Y6" s="2" t="s">
        <v>64</v>
      </c>
      <c r="Z6" s="2" t="s">
        <v>65</v>
      </c>
      <c r="AA6" s="2" t="s">
        <v>66</v>
      </c>
      <c r="AB6" s="2" t="s">
        <v>67</v>
      </c>
      <c r="AC6" s="2" t="s">
        <v>68</v>
      </c>
      <c r="AD6" s="2" t="s">
        <v>69</v>
      </c>
    </row>
    <row r="7" spans="1:30" ht="28" customHeight="1">
      <c r="A7" s="4" t="s">
        <v>70</v>
      </c>
      <c r="B7" s="4">
        <v>1</v>
      </c>
      <c r="C7" s="4" t="s">
        <v>71</v>
      </c>
      <c r="D7" s="5"/>
      <c r="E7" s="5"/>
      <c r="F7" s="5"/>
      <c r="G7" s="5"/>
      <c r="H7" s="5"/>
      <c r="I7" s="5"/>
      <c r="J7" s="5"/>
      <c r="K7" s="5"/>
      <c r="L7" s="6">
        <f>SUM(IFERROR(IF(AND(VALUE(D7)&gt;=1,VALUE(D7)&lt;=6,MOD(VALUE(D7),1)=0),1,0),0),IFERROR(IF(AND(VALUE(E7)&gt;=1,VALUE(E7)&lt;=6,MOD(VALUE(E7),1)=0),1,0),0),IFERROR(IF(AND(VALUE(F7)&gt;=1,VALUE(F7)&lt;=6,MOD(VALUE(F7),1)=0),1,0),0),IFERROR(IF(AND(VALUE(G7)&gt;=1,VALUE(G7)&lt;=6,MOD(VALUE(G7),1)=0),1,0),0),IFERROR(IF(AND(VALUE(H7)&gt;=1,VALUE(H7)&lt;=6,MOD(VALUE(H7),1)=0),1,0),0),IFERROR(IF(AND(VALUE(I7)&gt;=1,VALUE(I7)&lt;=6,MOD(VALUE(I7),1)=0),1,0),0))</f>
        <v>0</v>
      </c>
      <c r="M7" s="6" t="str">
        <f>'参与者登记'!K7</f>
        <v>待回收</v>
      </c>
      <c r="N7" s="4" t="s">
        <v>72</v>
      </c>
      <c r="O7" s="4" t="s">
        <v>73</v>
      </c>
      <c r="P7" s="4" t="s">
        <v>74</v>
      </c>
      <c r="Q7" s="4" t="s">
        <v>75</v>
      </c>
      <c r="R7" s="4" t="s">
        <v>74</v>
      </c>
      <c r="S7" s="4" t="s">
        <v>75</v>
      </c>
      <c r="T7" s="6">
        <f>IF(M7&lt;&gt;"纳入","",IF(VALUE(D7)=6,"",IF(VALUE(D7)=3,0.5,IF(OR(AND(VALUE(D7)&lt;3,P7=R7),AND(VALUE(D7)&gt;3,Q7=R7)),1,0))))</f>
        <v/>
      </c>
      <c r="U7" s="6">
        <f>IF(AND(M7="纳入",IFERROR(VALUE(D7),0)=6),1,0)</f>
        <v>0</v>
      </c>
      <c r="V7" s="6">
        <f>IF(AND(M7="纳入",IFERROR(VALUE(D7),0)=3),1,0)</f>
        <v>0</v>
      </c>
      <c r="W7" s="6">
        <f>IF(AND(M7="纳入",ISNUMBER(T7),T7=1),1,0)</f>
        <v>0</v>
      </c>
      <c r="X7" s="6">
        <f>IF(AND(M7="纳入",ISNUMBER(T7),T7=0),1,0)</f>
        <v>0</v>
      </c>
      <c r="Y7" s="6">
        <f>IF(AND(M7="纳入",ISNUMBER(T7)),1,0)</f>
        <v>0</v>
      </c>
      <c r="Z7" s="6">
        <f>IF(M7&lt;&gt;"纳入","",IF(VALUE(E7)=6,"",IF(VALUE(E7)=3,0.5,IF(OR(AND(VALUE(E7)&lt;3,P7=R7),AND(VALUE(E7)&gt;3,Q7=R7)),1,0))))</f>
        <v/>
      </c>
      <c r="AA7" s="6">
        <f>IF(M7&lt;&gt;"纳入","",IF(VALUE(F7)=6,"",IF(VALUE(F7)=3,0.5,IF(OR(AND(VALUE(F7)&lt;3,P7=R7),AND(VALUE(F7)&gt;3,Q7=R7)),1,0))))</f>
        <v/>
      </c>
      <c r="AB7" s="6">
        <f>IF(M7&lt;&gt;"纳入","",IF(VALUE(G7)=6,"",IF(VALUE(G7)=3,0.5,IF(OR(AND(VALUE(G7)&lt;3,P7=R7),AND(VALUE(G7)&gt;3,Q7=R7)),1,0))))</f>
        <v/>
      </c>
      <c r="AC7" s="6">
        <f>IF(M7&lt;&gt;"纳入","",IF(VALUE(H7)=6,"",IF(VALUE(H7)=3,0.5,IF(OR(AND(VALUE(H7)&lt;3,P7=R7),AND(VALUE(H7)&gt;3,Q7=R7)),1,0))))</f>
        <v/>
      </c>
      <c r="AD7" s="6">
        <f>IF(M7&lt;&gt;"纳入","",IF(VALUE(I7)=6,"",IF(VALUE(I7)=3,0.5,IF(OR(AND(VALUE(I7)&lt;3,P7=R7),AND(VALUE(I7)&gt;3,Q7=R7)),1,0))))</f>
        <v/>
      </c>
    </row>
    <row r="8" spans="1:30" ht="28" customHeight="1">
      <c r="A8" s="4" t="s">
        <v>70</v>
      </c>
      <c r="B8" s="4">
        <v>2</v>
      </c>
      <c r="C8" s="4" t="s">
        <v>76</v>
      </c>
      <c r="D8" s="5"/>
      <c r="E8" s="5"/>
      <c r="F8" s="5"/>
      <c r="G8" s="5"/>
      <c r="H8" s="5"/>
      <c r="I8" s="5"/>
      <c r="J8" s="5"/>
      <c r="K8" s="5"/>
      <c r="L8" s="6">
        <f>SUM(IFERROR(IF(AND(VALUE(D8)&gt;=1,VALUE(D8)&lt;=6,MOD(VALUE(D8),1)=0),1,0),0),IFERROR(IF(AND(VALUE(E8)&gt;=1,VALUE(E8)&lt;=6,MOD(VALUE(E8),1)=0),1,0),0),IFERROR(IF(AND(VALUE(F8)&gt;=1,VALUE(F8)&lt;=6,MOD(VALUE(F8),1)=0),1,0),0),IFERROR(IF(AND(VALUE(G8)&gt;=1,VALUE(G8)&lt;=6,MOD(VALUE(G8),1)=0),1,0),0),IFERROR(IF(AND(VALUE(H8)&gt;=1,VALUE(H8)&lt;=6,MOD(VALUE(H8),1)=0),1,0),0),IFERROR(IF(AND(VALUE(I8)&gt;=1,VALUE(I8)&lt;=6,MOD(VALUE(I8),1)=0),1,0),0))</f>
        <v>0</v>
      </c>
      <c r="M8" s="6" t="str">
        <f>'参与者登记'!K7</f>
        <v>待回收</v>
      </c>
      <c r="N8" s="4" t="s">
        <v>72</v>
      </c>
      <c r="O8" s="4" t="s">
        <v>77</v>
      </c>
      <c r="P8" s="4" t="s">
        <v>78</v>
      </c>
      <c r="Q8" s="4" t="s">
        <v>79</v>
      </c>
      <c r="R8" s="4" t="s">
        <v>79</v>
      </c>
      <c r="S8" s="4" t="s">
        <v>78</v>
      </c>
      <c r="T8" s="6">
        <f>IF(M8&lt;&gt;"纳入","",IF(VALUE(D8)=6,"",IF(VALUE(D8)=3,0.5,IF(OR(AND(VALUE(D8)&lt;3,P8=R8),AND(VALUE(D8)&gt;3,Q8=R8)),1,0))))</f>
        <v/>
      </c>
      <c r="U8" s="6">
        <f>IF(AND(M8="纳入",IFERROR(VALUE(D8),0)=6),1,0)</f>
        <v>0</v>
      </c>
      <c r="V8" s="6">
        <f>IF(AND(M8="纳入",IFERROR(VALUE(D8),0)=3),1,0)</f>
        <v>0</v>
      </c>
      <c r="W8" s="6">
        <f>IF(AND(M8="纳入",ISNUMBER(T8),T8=1),1,0)</f>
        <v>0</v>
      </c>
      <c r="X8" s="6">
        <f>IF(AND(M8="纳入",ISNUMBER(T8),T8=0),1,0)</f>
        <v>0</v>
      </c>
      <c r="Y8" s="6">
        <f>IF(AND(M8="纳入",ISNUMBER(T8)),1,0)</f>
        <v>0</v>
      </c>
      <c r="Z8" s="6">
        <f>IF(M8&lt;&gt;"纳入","",IF(VALUE(E8)=6,"",IF(VALUE(E8)=3,0.5,IF(OR(AND(VALUE(E8)&lt;3,P8=R8),AND(VALUE(E8)&gt;3,Q8=R8)),1,0))))</f>
        <v/>
      </c>
      <c r="AA8" s="6">
        <f>IF(M8&lt;&gt;"纳入","",IF(VALUE(F8)=6,"",IF(VALUE(F8)=3,0.5,IF(OR(AND(VALUE(F8)&lt;3,P8=R8),AND(VALUE(F8)&gt;3,Q8=R8)),1,0))))</f>
        <v/>
      </c>
      <c r="AB8" s="6">
        <f>IF(M8&lt;&gt;"纳入","",IF(VALUE(G8)=6,"",IF(VALUE(G8)=3,0.5,IF(OR(AND(VALUE(G8)&lt;3,P8=R8),AND(VALUE(G8)&gt;3,Q8=R8)),1,0))))</f>
        <v/>
      </c>
      <c r="AC8" s="6">
        <f>IF(M8&lt;&gt;"纳入","",IF(VALUE(H8)=6,"",IF(VALUE(H8)=3,0.5,IF(OR(AND(VALUE(H8)&lt;3,P8=R8),AND(VALUE(H8)&gt;3,Q8=R8)),1,0))))</f>
        <v/>
      </c>
      <c r="AD8" s="6">
        <f>IF(M8&lt;&gt;"纳入","",IF(VALUE(I8)=6,"",IF(VALUE(I8)=3,0.5,IF(OR(AND(VALUE(I8)&lt;3,P8=R8),AND(VALUE(I8)&gt;3,Q8=R8)),1,0))))</f>
        <v/>
      </c>
    </row>
    <row r="9" spans="1:30" ht="28" customHeight="1">
      <c r="A9" s="4" t="s">
        <v>70</v>
      </c>
      <c r="B9" s="4">
        <v>3</v>
      </c>
      <c r="C9" s="4" t="s">
        <v>80</v>
      </c>
      <c r="D9" s="5"/>
      <c r="E9" s="5"/>
      <c r="F9" s="5"/>
      <c r="G9" s="5"/>
      <c r="H9" s="5"/>
      <c r="I9" s="5"/>
      <c r="J9" s="5"/>
      <c r="K9" s="5"/>
      <c r="L9" s="6">
        <f>SUM(IFERROR(IF(AND(VALUE(D9)&gt;=1,VALUE(D9)&lt;=6,MOD(VALUE(D9),1)=0),1,0),0),IFERROR(IF(AND(VALUE(E9)&gt;=1,VALUE(E9)&lt;=6,MOD(VALUE(E9),1)=0),1,0),0),IFERROR(IF(AND(VALUE(F9)&gt;=1,VALUE(F9)&lt;=6,MOD(VALUE(F9),1)=0),1,0),0),IFERROR(IF(AND(VALUE(G9)&gt;=1,VALUE(G9)&lt;=6,MOD(VALUE(G9),1)=0),1,0),0),IFERROR(IF(AND(VALUE(H9)&gt;=1,VALUE(H9)&lt;=6,MOD(VALUE(H9),1)=0),1,0),0),IFERROR(IF(AND(VALUE(I9)&gt;=1,VALUE(I9)&lt;=6,MOD(VALUE(I9),1)=0),1,0),0))</f>
        <v>0</v>
      </c>
      <c r="M9" s="6" t="str">
        <f>'参与者登记'!K7</f>
        <v>待回收</v>
      </c>
      <c r="N9" s="4" t="s">
        <v>81</v>
      </c>
      <c r="O9" s="4" t="s">
        <v>82</v>
      </c>
      <c r="P9" s="4" t="s">
        <v>83</v>
      </c>
      <c r="Q9" s="4" t="s">
        <v>84</v>
      </c>
      <c r="R9" s="4" t="s">
        <v>83</v>
      </c>
      <c r="S9" s="4" t="s">
        <v>84</v>
      </c>
      <c r="T9" s="6">
        <f>IF(M9&lt;&gt;"纳入","",IF(VALUE(D9)=6,"",IF(VALUE(D9)=3,0.5,IF(OR(AND(VALUE(D9)&lt;3,P9=R9),AND(VALUE(D9)&gt;3,Q9=R9)),1,0))))</f>
        <v/>
      </c>
      <c r="U9" s="6">
        <f>IF(AND(M9="纳入",IFERROR(VALUE(D9),0)=6),1,0)</f>
        <v>0</v>
      </c>
      <c r="V9" s="6">
        <f>IF(AND(M9="纳入",IFERROR(VALUE(D9),0)=3),1,0)</f>
        <v>0</v>
      </c>
      <c r="W9" s="6">
        <f>IF(AND(M9="纳入",ISNUMBER(T9),T9=1),1,0)</f>
        <v>0</v>
      </c>
      <c r="X9" s="6">
        <f>IF(AND(M9="纳入",ISNUMBER(T9),T9=0),1,0)</f>
        <v>0</v>
      </c>
      <c r="Y9" s="6">
        <f>IF(AND(M9="纳入",ISNUMBER(T9)),1,0)</f>
        <v>0</v>
      </c>
      <c r="Z9" s="6">
        <f>IF(M9&lt;&gt;"纳入","",IF(VALUE(E9)=6,"",IF(VALUE(E9)=3,0.5,IF(OR(AND(VALUE(E9)&lt;3,P9=R9),AND(VALUE(E9)&gt;3,Q9=R9)),1,0))))</f>
        <v/>
      </c>
      <c r="AA9" s="6">
        <f>IF(M9&lt;&gt;"纳入","",IF(VALUE(F9)=6,"",IF(VALUE(F9)=3,0.5,IF(OR(AND(VALUE(F9)&lt;3,P9=R9),AND(VALUE(F9)&gt;3,Q9=R9)),1,0))))</f>
        <v/>
      </c>
      <c r="AB9" s="6">
        <f>IF(M9&lt;&gt;"纳入","",IF(VALUE(G9)=6,"",IF(VALUE(G9)=3,0.5,IF(OR(AND(VALUE(G9)&lt;3,P9=R9),AND(VALUE(G9)&gt;3,Q9=R9)),1,0))))</f>
        <v/>
      </c>
      <c r="AC9" s="6">
        <f>IF(M9&lt;&gt;"纳入","",IF(VALUE(H9)=6,"",IF(VALUE(H9)=3,0.5,IF(OR(AND(VALUE(H9)&lt;3,P9=R9),AND(VALUE(H9)&gt;3,Q9=R9)),1,0))))</f>
        <v/>
      </c>
      <c r="AD9" s="6">
        <f>IF(M9&lt;&gt;"纳入","",IF(VALUE(I9)=6,"",IF(VALUE(I9)=3,0.5,IF(OR(AND(VALUE(I9)&lt;3,P9=R9),AND(VALUE(I9)&gt;3,Q9=R9)),1,0))))</f>
        <v/>
      </c>
    </row>
    <row r="10" spans="1:30" ht="28" customHeight="1">
      <c r="A10" s="4" t="s">
        <v>70</v>
      </c>
      <c r="B10" s="4">
        <v>4</v>
      </c>
      <c r="C10" s="4" t="s">
        <v>85</v>
      </c>
      <c r="D10" s="5"/>
      <c r="E10" s="5"/>
      <c r="F10" s="5"/>
      <c r="G10" s="5"/>
      <c r="H10" s="5"/>
      <c r="I10" s="5"/>
      <c r="J10" s="5"/>
      <c r="K10" s="5"/>
      <c r="L10" s="6">
        <f>SUM(IFERROR(IF(AND(VALUE(D10)&gt;=1,VALUE(D10)&lt;=6,MOD(VALUE(D10),1)=0),1,0),0),IFERROR(IF(AND(VALUE(E10)&gt;=1,VALUE(E10)&lt;=6,MOD(VALUE(E10),1)=0),1,0),0),IFERROR(IF(AND(VALUE(F10)&gt;=1,VALUE(F10)&lt;=6,MOD(VALUE(F10),1)=0),1,0),0),IFERROR(IF(AND(VALUE(G10)&gt;=1,VALUE(G10)&lt;=6,MOD(VALUE(G10),1)=0),1,0),0),IFERROR(IF(AND(VALUE(H10)&gt;=1,VALUE(H10)&lt;=6,MOD(VALUE(H10),1)=0),1,0),0),IFERROR(IF(AND(VALUE(I10)&gt;=1,VALUE(I10)&lt;=6,MOD(VALUE(I10),1)=0),1,0),0))</f>
        <v>0</v>
      </c>
      <c r="M10" s="6" t="str">
        <f>'参与者登记'!K7</f>
        <v>待回收</v>
      </c>
      <c r="N10" s="4" t="s">
        <v>72</v>
      </c>
      <c r="O10" s="4" t="s">
        <v>86</v>
      </c>
      <c r="P10" s="4" t="s">
        <v>79</v>
      </c>
      <c r="Q10" s="4" t="s">
        <v>87</v>
      </c>
      <c r="R10" s="4" t="s">
        <v>79</v>
      </c>
      <c r="S10" s="4" t="s">
        <v>87</v>
      </c>
      <c r="T10" s="6">
        <f>IF(M10&lt;&gt;"纳入","",IF(VALUE(D10)=6,"",IF(VALUE(D10)=3,0.5,IF(OR(AND(VALUE(D10)&lt;3,P10=R10),AND(VALUE(D10)&gt;3,Q10=R10)),1,0))))</f>
        <v/>
      </c>
      <c r="U10" s="6">
        <f>IF(AND(M10="纳入",IFERROR(VALUE(D10),0)=6),1,0)</f>
        <v>0</v>
      </c>
      <c r="V10" s="6">
        <f>IF(AND(M10="纳入",IFERROR(VALUE(D10),0)=3),1,0)</f>
        <v>0</v>
      </c>
      <c r="W10" s="6">
        <f>IF(AND(M10="纳入",ISNUMBER(T10),T10=1),1,0)</f>
        <v>0</v>
      </c>
      <c r="X10" s="6">
        <f>IF(AND(M10="纳入",ISNUMBER(T10),T10=0),1,0)</f>
        <v>0</v>
      </c>
      <c r="Y10" s="6">
        <f>IF(AND(M10="纳入",ISNUMBER(T10)),1,0)</f>
        <v>0</v>
      </c>
      <c r="Z10" s="6">
        <f>IF(M10&lt;&gt;"纳入","",IF(VALUE(E10)=6,"",IF(VALUE(E10)=3,0.5,IF(OR(AND(VALUE(E10)&lt;3,P10=R10),AND(VALUE(E10)&gt;3,Q10=R10)),1,0))))</f>
        <v/>
      </c>
      <c r="AA10" s="6">
        <f>IF(M10&lt;&gt;"纳入","",IF(VALUE(F10)=6,"",IF(VALUE(F10)=3,0.5,IF(OR(AND(VALUE(F10)&lt;3,P10=R10),AND(VALUE(F10)&gt;3,Q10=R10)),1,0))))</f>
        <v/>
      </c>
      <c r="AB10" s="6">
        <f>IF(M10&lt;&gt;"纳入","",IF(VALUE(G10)=6,"",IF(VALUE(G10)=3,0.5,IF(OR(AND(VALUE(G10)&lt;3,P10=R10),AND(VALUE(G10)&gt;3,Q10=R10)),1,0))))</f>
        <v/>
      </c>
      <c r="AC10" s="6">
        <f>IF(M10&lt;&gt;"纳入","",IF(VALUE(H10)=6,"",IF(VALUE(H10)=3,0.5,IF(OR(AND(VALUE(H10)&lt;3,P10=R10),AND(VALUE(H10)&gt;3,Q10=R10)),1,0))))</f>
        <v/>
      </c>
      <c r="AD10" s="6">
        <f>IF(M10&lt;&gt;"纳入","",IF(VALUE(I10)=6,"",IF(VALUE(I10)=3,0.5,IF(OR(AND(VALUE(I10)&lt;3,P10=R10),AND(VALUE(I10)&gt;3,Q10=R10)),1,0))))</f>
        <v/>
      </c>
    </row>
    <row r="11" spans="1:30" ht="28" customHeight="1">
      <c r="A11" s="4" t="s">
        <v>70</v>
      </c>
      <c r="B11" s="4">
        <v>5</v>
      </c>
      <c r="C11" s="4" t="s">
        <v>88</v>
      </c>
      <c r="D11" s="5"/>
      <c r="E11" s="5"/>
      <c r="F11" s="5"/>
      <c r="G11" s="5"/>
      <c r="H11" s="5"/>
      <c r="I11" s="5"/>
      <c r="J11" s="5"/>
      <c r="K11" s="5"/>
      <c r="L11" s="6">
        <f>SUM(IFERROR(IF(AND(VALUE(D11)&gt;=1,VALUE(D11)&lt;=6,MOD(VALUE(D11),1)=0),1,0),0),IFERROR(IF(AND(VALUE(E11)&gt;=1,VALUE(E11)&lt;=6,MOD(VALUE(E11),1)=0),1,0),0),IFERROR(IF(AND(VALUE(F11)&gt;=1,VALUE(F11)&lt;=6,MOD(VALUE(F11),1)=0),1,0),0),IFERROR(IF(AND(VALUE(G11)&gt;=1,VALUE(G11)&lt;=6,MOD(VALUE(G11),1)=0),1,0),0),IFERROR(IF(AND(VALUE(H11)&gt;=1,VALUE(H11)&lt;=6,MOD(VALUE(H11),1)=0),1,0),0),IFERROR(IF(AND(VALUE(I11)&gt;=1,VALUE(I11)&lt;=6,MOD(VALUE(I11),1)=0),1,0),0))</f>
        <v>0</v>
      </c>
      <c r="M11" s="6" t="str">
        <f>'参与者登记'!K7</f>
        <v>待回收</v>
      </c>
      <c r="N11" s="4" t="s">
        <v>72</v>
      </c>
      <c r="O11" s="4" t="s">
        <v>77</v>
      </c>
      <c r="P11" s="4" t="s">
        <v>89</v>
      </c>
      <c r="Q11" s="4" t="s">
        <v>79</v>
      </c>
      <c r="R11" s="4" t="s">
        <v>79</v>
      </c>
      <c r="S11" s="4" t="s">
        <v>89</v>
      </c>
      <c r="T11" s="6">
        <f>IF(M11&lt;&gt;"纳入","",IF(VALUE(D11)=6,"",IF(VALUE(D11)=3,0.5,IF(OR(AND(VALUE(D11)&lt;3,P11=R11),AND(VALUE(D11)&gt;3,Q11=R11)),1,0))))</f>
        <v/>
      </c>
      <c r="U11" s="6">
        <f>IF(AND(M11="纳入",IFERROR(VALUE(D11),0)=6),1,0)</f>
        <v>0</v>
      </c>
      <c r="V11" s="6">
        <f>IF(AND(M11="纳入",IFERROR(VALUE(D11),0)=3),1,0)</f>
        <v>0</v>
      </c>
      <c r="W11" s="6">
        <f>IF(AND(M11="纳入",ISNUMBER(T11),T11=1),1,0)</f>
        <v>0</v>
      </c>
      <c r="X11" s="6">
        <f>IF(AND(M11="纳入",ISNUMBER(T11),T11=0),1,0)</f>
        <v>0</v>
      </c>
      <c r="Y11" s="6">
        <f>IF(AND(M11="纳入",ISNUMBER(T11)),1,0)</f>
        <v>0</v>
      </c>
      <c r="Z11" s="6">
        <f>IF(M11&lt;&gt;"纳入","",IF(VALUE(E11)=6,"",IF(VALUE(E11)=3,0.5,IF(OR(AND(VALUE(E11)&lt;3,P11=R11),AND(VALUE(E11)&gt;3,Q11=R11)),1,0))))</f>
        <v/>
      </c>
      <c r="AA11" s="6">
        <f>IF(M11&lt;&gt;"纳入","",IF(VALUE(F11)=6,"",IF(VALUE(F11)=3,0.5,IF(OR(AND(VALUE(F11)&lt;3,P11=R11),AND(VALUE(F11)&gt;3,Q11=R11)),1,0))))</f>
        <v/>
      </c>
      <c r="AB11" s="6">
        <f>IF(M11&lt;&gt;"纳入","",IF(VALUE(G11)=6,"",IF(VALUE(G11)=3,0.5,IF(OR(AND(VALUE(G11)&lt;3,P11=R11),AND(VALUE(G11)&gt;3,Q11=R11)),1,0))))</f>
        <v/>
      </c>
      <c r="AC11" s="6">
        <f>IF(M11&lt;&gt;"纳入","",IF(VALUE(H11)=6,"",IF(VALUE(H11)=3,0.5,IF(OR(AND(VALUE(H11)&lt;3,P11=R11),AND(VALUE(H11)&gt;3,Q11=R11)),1,0))))</f>
        <v/>
      </c>
      <c r="AD11" s="6">
        <f>IF(M11&lt;&gt;"纳入","",IF(VALUE(I11)=6,"",IF(VALUE(I11)=3,0.5,IF(OR(AND(VALUE(I11)&lt;3,P11=R11),AND(VALUE(I11)&gt;3,Q11=R11)),1,0))))</f>
        <v/>
      </c>
    </row>
    <row r="12" spans="1:30" ht="28" customHeight="1">
      <c r="A12" s="4" t="s">
        <v>70</v>
      </c>
      <c r="B12" s="4">
        <v>6</v>
      </c>
      <c r="C12" s="4" t="s">
        <v>90</v>
      </c>
      <c r="D12" s="5"/>
      <c r="E12" s="5"/>
      <c r="F12" s="5"/>
      <c r="G12" s="5"/>
      <c r="H12" s="5"/>
      <c r="I12" s="5"/>
      <c r="J12" s="5"/>
      <c r="K12" s="5"/>
      <c r="L12" s="6">
        <f>SUM(IFERROR(IF(AND(VALUE(D12)&gt;=1,VALUE(D12)&lt;=6,MOD(VALUE(D12),1)=0),1,0),0),IFERROR(IF(AND(VALUE(E12)&gt;=1,VALUE(E12)&lt;=6,MOD(VALUE(E12),1)=0),1,0),0),IFERROR(IF(AND(VALUE(F12)&gt;=1,VALUE(F12)&lt;=6,MOD(VALUE(F12),1)=0),1,0),0),IFERROR(IF(AND(VALUE(G12)&gt;=1,VALUE(G12)&lt;=6,MOD(VALUE(G12),1)=0),1,0),0),IFERROR(IF(AND(VALUE(H12)&gt;=1,VALUE(H12)&lt;=6,MOD(VALUE(H12),1)=0),1,0),0),IFERROR(IF(AND(VALUE(I12)&gt;=1,VALUE(I12)&lt;=6,MOD(VALUE(I12),1)=0),1,0),0))</f>
        <v>0</v>
      </c>
      <c r="M12" s="6" t="str">
        <f>'参与者登记'!K7</f>
        <v>待回收</v>
      </c>
      <c r="N12" s="4" t="s">
        <v>81</v>
      </c>
      <c r="O12" s="4" t="s">
        <v>91</v>
      </c>
      <c r="P12" s="4" t="s">
        <v>84</v>
      </c>
      <c r="Q12" s="4" t="s">
        <v>83</v>
      </c>
      <c r="R12" s="4" t="s">
        <v>83</v>
      </c>
      <c r="S12" s="4" t="s">
        <v>84</v>
      </c>
      <c r="T12" s="6">
        <f>IF(M12&lt;&gt;"纳入","",IF(VALUE(D12)=6,"",IF(VALUE(D12)=3,0.5,IF(OR(AND(VALUE(D12)&lt;3,P12=R12),AND(VALUE(D12)&gt;3,Q12=R12)),1,0))))</f>
        <v/>
      </c>
      <c r="U12" s="6">
        <f>IF(AND(M12="纳入",IFERROR(VALUE(D12),0)=6),1,0)</f>
        <v>0</v>
      </c>
      <c r="V12" s="6">
        <f>IF(AND(M12="纳入",IFERROR(VALUE(D12),0)=3),1,0)</f>
        <v>0</v>
      </c>
      <c r="W12" s="6">
        <f>IF(AND(M12="纳入",ISNUMBER(T12),T12=1),1,0)</f>
        <v>0</v>
      </c>
      <c r="X12" s="6">
        <f>IF(AND(M12="纳入",ISNUMBER(T12),T12=0),1,0)</f>
        <v>0</v>
      </c>
      <c r="Y12" s="6">
        <f>IF(AND(M12="纳入",ISNUMBER(T12)),1,0)</f>
        <v>0</v>
      </c>
      <c r="Z12" s="6">
        <f>IF(M12&lt;&gt;"纳入","",IF(VALUE(E12)=6,"",IF(VALUE(E12)=3,0.5,IF(OR(AND(VALUE(E12)&lt;3,P12=R12),AND(VALUE(E12)&gt;3,Q12=R12)),1,0))))</f>
        <v/>
      </c>
      <c r="AA12" s="6">
        <f>IF(M12&lt;&gt;"纳入","",IF(VALUE(F12)=6,"",IF(VALUE(F12)=3,0.5,IF(OR(AND(VALUE(F12)&lt;3,P12=R12),AND(VALUE(F12)&gt;3,Q12=R12)),1,0))))</f>
        <v/>
      </c>
      <c r="AB12" s="6">
        <f>IF(M12&lt;&gt;"纳入","",IF(VALUE(G12)=6,"",IF(VALUE(G12)=3,0.5,IF(OR(AND(VALUE(G12)&lt;3,P12=R12),AND(VALUE(G12)&gt;3,Q12=R12)),1,0))))</f>
        <v/>
      </c>
      <c r="AC12" s="6">
        <f>IF(M12&lt;&gt;"纳入","",IF(VALUE(H12)=6,"",IF(VALUE(H12)=3,0.5,IF(OR(AND(VALUE(H12)&lt;3,P12=R12),AND(VALUE(H12)&gt;3,Q12=R12)),1,0))))</f>
        <v/>
      </c>
      <c r="AD12" s="6">
        <f>IF(M12&lt;&gt;"纳入","",IF(VALUE(I12)=6,"",IF(VALUE(I12)=3,0.5,IF(OR(AND(VALUE(I12)&lt;3,P12=R12),AND(VALUE(I12)&gt;3,Q12=R12)),1,0))))</f>
        <v/>
      </c>
    </row>
    <row r="13" spans="1:30" ht="28" customHeight="1">
      <c r="A13" s="4" t="s">
        <v>92</v>
      </c>
      <c r="B13" s="4">
        <v>1</v>
      </c>
      <c r="C13" s="4" t="s">
        <v>71</v>
      </c>
      <c r="D13" s="5"/>
      <c r="E13" s="5"/>
      <c r="F13" s="5"/>
      <c r="G13" s="5"/>
      <c r="H13" s="5"/>
      <c r="I13" s="5"/>
      <c r="J13" s="5"/>
      <c r="K13" s="5"/>
      <c r="L13" s="6">
        <f>SUM(IFERROR(IF(AND(VALUE(D13)&gt;=1,VALUE(D13)&lt;=6,MOD(VALUE(D13),1)=0),1,0),0),IFERROR(IF(AND(VALUE(E13)&gt;=1,VALUE(E13)&lt;=6,MOD(VALUE(E13),1)=0),1,0),0),IFERROR(IF(AND(VALUE(F13)&gt;=1,VALUE(F13)&lt;=6,MOD(VALUE(F13),1)=0),1,0),0),IFERROR(IF(AND(VALUE(G13)&gt;=1,VALUE(G13)&lt;=6,MOD(VALUE(G13),1)=0),1,0),0),IFERROR(IF(AND(VALUE(H13)&gt;=1,VALUE(H13)&lt;=6,MOD(VALUE(H13),1)=0),1,0),0),IFERROR(IF(AND(VALUE(I13)&gt;=1,VALUE(I13)&lt;=6,MOD(VALUE(I13),1)=0),1,0),0))</f>
        <v>0</v>
      </c>
      <c r="M13" s="6" t="str">
        <f>'参与者登记'!K8</f>
        <v>待回收</v>
      </c>
      <c r="N13" s="4" t="s">
        <v>72</v>
      </c>
      <c r="O13" s="4" t="s">
        <v>86</v>
      </c>
      <c r="P13" s="4" t="s">
        <v>78</v>
      </c>
      <c r="Q13" s="4" t="s">
        <v>74</v>
      </c>
      <c r="R13" s="4" t="s">
        <v>74</v>
      </c>
      <c r="S13" s="4" t="s">
        <v>78</v>
      </c>
      <c r="T13" s="6">
        <f>IF(M13&lt;&gt;"纳入","",IF(VALUE(D13)=6,"",IF(VALUE(D13)=3,0.5,IF(OR(AND(VALUE(D13)&lt;3,P13=R13),AND(VALUE(D13)&gt;3,Q13=R13)),1,0))))</f>
        <v/>
      </c>
      <c r="U13" s="6">
        <f>IF(AND(M13="纳入",IFERROR(VALUE(D13),0)=6),1,0)</f>
        <v>0</v>
      </c>
      <c r="V13" s="6">
        <f>IF(AND(M13="纳入",IFERROR(VALUE(D13),0)=3),1,0)</f>
        <v>0</v>
      </c>
      <c r="W13" s="6">
        <f>IF(AND(M13="纳入",ISNUMBER(T13),T13=1),1,0)</f>
        <v>0</v>
      </c>
      <c r="X13" s="6">
        <f>IF(AND(M13="纳入",ISNUMBER(T13),T13=0),1,0)</f>
        <v>0</v>
      </c>
      <c r="Y13" s="6">
        <f>IF(AND(M13="纳入",ISNUMBER(T13)),1,0)</f>
        <v>0</v>
      </c>
      <c r="Z13" s="6">
        <f>IF(M13&lt;&gt;"纳入","",IF(VALUE(E13)=6,"",IF(VALUE(E13)=3,0.5,IF(OR(AND(VALUE(E13)&lt;3,P13=R13),AND(VALUE(E13)&gt;3,Q13=R13)),1,0))))</f>
        <v/>
      </c>
      <c r="AA13" s="6">
        <f>IF(M13&lt;&gt;"纳入","",IF(VALUE(F13)=6,"",IF(VALUE(F13)=3,0.5,IF(OR(AND(VALUE(F13)&lt;3,P13=R13),AND(VALUE(F13)&gt;3,Q13=R13)),1,0))))</f>
        <v/>
      </c>
      <c r="AB13" s="6">
        <f>IF(M13&lt;&gt;"纳入","",IF(VALUE(G13)=6,"",IF(VALUE(G13)=3,0.5,IF(OR(AND(VALUE(G13)&lt;3,P13=R13),AND(VALUE(G13)&gt;3,Q13=R13)),1,0))))</f>
        <v/>
      </c>
      <c r="AC13" s="6">
        <f>IF(M13&lt;&gt;"纳入","",IF(VALUE(H13)=6,"",IF(VALUE(H13)=3,0.5,IF(OR(AND(VALUE(H13)&lt;3,P13=R13),AND(VALUE(H13)&gt;3,Q13=R13)),1,0))))</f>
        <v/>
      </c>
      <c r="AD13" s="6">
        <f>IF(M13&lt;&gt;"纳入","",IF(VALUE(I13)=6,"",IF(VALUE(I13)=3,0.5,IF(OR(AND(VALUE(I13)&lt;3,P13=R13),AND(VALUE(I13)&gt;3,Q13=R13)),1,0))))</f>
        <v/>
      </c>
    </row>
    <row r="14" spans="1:30" ht="28" customHeight="1">
      <c r="A14" s="4" t="s">
        <v>92</v>
      </c>
      <c r="B14" s="4">
        <v>2</v>
      </c>
      <c r="C14" s="4" t="s">
        <v>76</v>
      </c>
      <c r="D14" s="5"/>
      <c r="E14" s="5"/>
      <c r="F14" s="5"/>
      <c r="G14" s="5"/>
      <c r="H14" s="5"/>
      <c r="I14" s="5"/>
      <c r="J14" s="5"/>
      <c r="K14" s="5"/>
      <c r="L14" s="6">
        <f>SUM(IFERROR(IF(AND(VALUE(D14)&gt;=1,VALUE(D14)&lt;=6,MOD(VALUE(D14),1)=0),1,0),0),IFERROR(IF(AND(VALUE(E14)&gt;=1,VALUE(E14)&lt;=6,MOD(VALUE(E14),1)=0),1,0),0),IFERROR(IF(AND(VALUE(F14)&gt;=1,VALUE(F14)&lt;=6,MOD(VALUE(F14),1)=0),1,0),0),IFERROR(IF(AND(VALUE(G14)&gt;=1,VALUE(G14)&lt;=6,MOD(VALUE(G14),1)=0),1,0),0),IFERROR(IF(AND(VALUE(H14)&gt;=1,VALUE(H14)&lt;=6,MOD(VALUE(H14),1)=0),1,0),0),IFERROR(IF(AND(VALUE(I14)&gt;=1,VALUE(I14)&lt;=6,MOD(VALUE(I14),1)=0),1,0),0))</f>
        <v>0</v>
      </c>
      <c r="M14" s="6" t="str">
        <f>'参与者登记'!K8</f>
        <v>待回收</v>
      </c>
      <c r="N14" s="4" t="s">
        <v>81</v>
      </c>
      <c r="O14" s="4" t="s">
        <v>93</v>
      </c>
      <c r="P14" s="4" t="s">
        <v>83</v>
      </c>
      <c r="Q14" s="4" t="s">
        <v>84</v>
      </c>
      <c r="R14" s="4" t="s">
        <v>83</v>
      </c>
      <c r="S14" s="4" t="s">
        <v>84</v>
      </c>
      <c r="T14" s="6">
        <f>IF(M14&lt;&gt;"纳入","",IF(VALUE(D14)=6,"",IF(VALUE(D14)=3,0.5,IF(OR(AND(VALUE(D14)&lt;3,P14=R14),AND(VALUE(D14)&gt;3,Q14=R14)),1,0))))</f>
        <v/>
      </c>
      <c r="U14" s="6">
        <f>IF(AND(M14="纳入",IFERROR(VALUE(D14),0)=6),1,0)</f>
        <v>0</v>
      </c>
      <c r="V14" s="6">
        <f>IF(AND(M14="纳入",IFERROR(VALUE(D14),0)=3),1,0)</f>
        <v>0</v>
      </c>
      <c r="W14" s="6">
        <f>IF(AND(M14="纳入",ISNUMBER(T14),T14=1),1,0)</f>
        <v>0</v>
      </c>
      <c r="X14" s="6">
        <f>IF(AND(M14="纳入",ISNUMBER(T14),T14=0),1,0)</f>
        <v>0</v>
      </c>
      <c r="Y14" s="6">
        <f>IF(AND(M14="纳入",ISNUMBER(T14)),1,0)</f>
        <v>0</v>
      </c>
      <c r="Z14" s="6">
        <f>IF(M14&lt;&gt;"纳入","",IF(VALUE(E14)=6,"",IF(VALUE(E14)=3,0.5,IF(OR(AND(VALUE(E14)&lt;3,P14=R14),AND(VALUE(E14)&gt;3,Q14=R14)),1,0))))</f>
        <v/>
      </c>
      <c r="AA14" s="6">
        <f>IF(M14&lt;&gt;"纳入","",IF(VALUE(F14)=6,"",IF(VALUE(F14)=3,0.5,IF(OR(AND(VALUE(F14)&lt;3,P14=R14),AND(VALUE(F14)&gt;3,Q14=R14)),1,0))))</f>
        <v/>
      </c>
      <c r="AB14" s="6">
        <f>IF(M14&lt;&gt;"纳入","",IF(VALUE(G14)=6,"",IF(VALUE(G14)=3,0.5,IF(OR(AND(VALUE(G14)&lt;3,P14=R14),AND(VALUE(G14)&gt;3,Q14=R14)),1,0))))</f>
        <v/>
      </c>
      <c r="AC14" s="6">
        <f>IF(M14&lt;&gt;"纳入","",IF(VALUE(H14)=6,"",IF(VALUE(H14)=3,0.5,IF(OR(AND(VALUE(H14)&lt;3,P14=R14),AND(VALUE(H14)&gt;3,Q14=R14)),1,0))))</f>
        <v/>
      </c>
      <c r="AD14" s="6">
        <f>IF(M14&lt;&gt;"纳入","",IF(VALUE(I14)=6,"",IF(VALUE(I14)=3,0.5,IF(OR(AND(VALUE(I14)&lt;3,P14=R14),AND(VALUE(I14)&gt;3,Q14=R14)),1,0))))</f>
        <v/>
      </c>
    </row>
    <row r="15" spans="1:30" ht="28" customHeight="1">
      <c r="A15" s="4" t="s">
        <v>92</v>
      </c>
      <c r="B15" s="4">
        <v>3</v>
      </c>
      <c r="C15" s="4" t="s">
        <v>80</v>
      </c>
      <c r="D15" s="5"/>
      <c r="E15" s="5"/>
      <c r="F15" s="5"/>
      <c r="G15" s="5"/>
      <c r="H15" s="5"/>
      <c r="I15" s="5"/>
      <c r="J15" s="5"/>
      <c r="K15" s="5"/>
      <c r="L15" s="6">
        <f>SUM(IFERROR(IF(AND(VALUE(D15)&gt;=1,VALUE(D15)&lt;=6,MOD(VALUE(D15),1)=0),1,0),0),IFERROR(IF(AND(VALUE(E15)&gt;=1,VALUE(E15)&lt;=6,MOD(VALUE(E15),1)=0),1,0),0),IFERROR(IF(AND(VALUE(F15)&gt;=1,VALUE(F15)&lt;=6,MOD(VALUE(F15),1)=0),1,0),0),IFERROR(IF(AND(VALUE(G15)&gt;=1,VALUE(G15)&lt;=6,MOD(VALUE(G15),1)=0),1,0),0),IFERROR(IF(AND(VALUE(H15)&gt;=1,VALUE(H15)&lt;=6,MOD(VALUE(H15),1)=0),1,0),0),IFERROR(IF(AND(VALUE(I15)&gt;=1,VALUE(I15)&lt;=6,MOD(VALUE(I15),1)=0),1,0),0))</f>
        <v>0</v>
      </c>
      <c r="M15" s="6" t="str">
        <f>'参与者登记'!K8</f>
        <v>待回收</v>
      </c>
      <c r="N15" s="4" t="s">
        <v>72</v>
      </c>
      <c r="O15" s="4" t="s">
        <v>77</v>
      </c>
      <c r="P15" s="4" t="s">
        <v>94</v>
      </c>
      <c r="Q15" s="4" t="s">
        <v>74</v>
      </c>
      <c r="R15" s="4" t="s">
        <v>74</v>
      </c>
      <c r="S15" s="4" t="s">
        <v>94</v>
      </c>
      <c r="T15" s="6">
        <f>IF(M15&lt;&gt;"纳入","",IF(VALUE(D15)=6,"",IF(VALUE(D15)=3,0.5,IF(OR(AND(VALUE(D15)&lt;3,P15=R15),AND(VALUE(D15)&gt;3,Q15=R15)),1,0))))</f>
        <v/>
      </c>
      <c r="U15" s="6">
        <f>IF(AND(M15="纳入",IFERROR(VALUE(D15),0)=6),1,0)</f>
        <v>0</v>
      </c>
      <c r="V15" s="6">
        <f>IF(AND(M15="纳入",IFERROR(VALUE(D15),0)=3),1,0)</f>
        <v>0</v>
      </c>
      <c r="W15" s="6">
        <f>IF(AND(M15="纳入",ISNUMBER(T15),T15=1),1,0)</f>
        <v>0</v>
      </c>
      <c r="X15" s="6">
        <f>IF(AND(M15="纳入",ISNUMBER(T15),T15=0),1,0)</f>
        <v>0</v>
      </c>
      <c r="Y15" s="6">
        <f>IF(AND(M15="纳入",ISNUMBER(T15)),1,0)</f>
        <v>0</v>
      </c>
      <c r="Z15" s="6">
        <f>IF(M15&lt;&gt;"纳入","",IF(VALUE(E15)=6,"",IF(VALUE(E15)=3,0.5,IF(OR(AND(VALUE(E15)&lt;3,P15=R15),AND(VALUE(E15)&gt;3,Q15=R15)),1,0))))</f>
        <v/>
      </c>
      <c r="AA15" s="6">
        <f>IF(M15&lt;&gt;"纳入","",IF(VALUE(F15)=6,"",IF(VALUE(F15)=3,0.5,IF(OR(AND(VALUE(F15)&lt;3,P15=R15),AND(VALUE(F15)&gt;3,Q15=R15)),1,0))))</f>
        <v/>
      </c>
      <c r="AB15" s="6">
        <f>IF(M15&lt;&gt;"纳入","",IF(VALUE(G15)=6,"",IF(VALUE(G15)=3,0.5,IF(OR(AND(VALUE(G15)&lt;3,P15=R15),AND(VALUE(G15)&gt;3,Q15=R15)),1,0))))</f>
        <v/>
      </c>
      <c r="AC15" s="6">
        <f>IF(M15&lt;&gt;"纳入","",IF(VALUE(H15)=6,"",IF(VALUE(H15)=3,0.5,IF(OR(AND(VALUE(H15)&lt;3,P15=R15),AND(VALUE(H15)&gt;3,Q15=R15)),1,0))))</f>
        <v/>
      </c>
      <c r="AD15" s="6">
        <f>IF(M15&lt;&gt;"纳入","",IF(VALUE(I15)=6,"",IF(VALUE(I15)=3,0.5,IF(OR(AND(VALUE(I15)&lt;3,P15=R15),AND(VALUE(I15)&gt;3,Q15=R15)),1,0))))</f>
        <v/>
      </c>
    </row>
    <row r="16" spans="1:30" ht="28" customHeight="1">
      <c r="A16" s="4" t="s">
        <v>92</v>
      </c>
      <c r="B16" s="4">
        <v>4</v>
      </c>
      <c r="C16" s="4" t="s">
        <v>85</v>
      </c>
      <c r="D16" s="5"/>
      <c r="E16" s="5"/>
      <c r="F16" s="5"/>
      <c r="G16" s="5"/>
      <c r="H16" s="5"/>
      <c r="I16" s="5"/>
      <c r="J16" s="5"/>
      <c r="K16" s="5"/>
      <c r="L16" s="6">
        <f>SUM(IFERROR(IF(AND(VALUE(D16)&gt;=1,VALUE(D16)&lt;=6,MOD(VALUE(D16),1)=0),1,0),0),IFERROR(IF(AND(VALUE(E16)&gt;=1,VALUE(E16)&lt;=6,MOD(VALUE(E16),1)=0),1,0),0),IFERROR(IF(AND(VALUE(F16)&gt;=1,VALUE(F16)&lt;=6,MOD(VALUE(F16),1)=0),1,0),0),IFERROR(IF(AND(VALUE(G16)&gt;=1,VALUE(G16)&lt;=6,MOD(VALUE(G16),1)=0),1,0),0),IFERROR(IF(AND(VALUE(H16)&gt;=1,VALUE(H16)&lt;=6,MOD(VALUE(H16),1)=0),1,0),0),IFERROR(IF(AND(VALUE(I16)&gt;=1,VALUE(I16)&lt;=6,MOD(VALUE(I16),1)=0),1,0),0))</f>
        <v>0</v>
      </c>
      <c r="M16" s="6" t="str">
        <f>'参与者登记'!K8</f>
        <v>待回收</v>
      </c>
      <c r="N16" s="4" t="s">
        <v>72</v>
      </c>
      <c r="O16" s="4" t="s">
        <v>77</v>
      </c>
      <c r="P16" s="4" t="s">
        <v>87</v>
      </c>
      <c r="Q16" s="4" t="s">
        <v>75</v>
      </c>
      <c r="R16" s="4" t="s">
        <v>75</v>
      </c>
      <c r="S16" s="4" t="s">
        <v>87</v>
      </c>
      <c r="T16" s="6">
        <f>IF(M16&lt;&gt;"纳入","",IF(VALUE(D16)=6,"",IF(VALUE(D16)=3,0.5,IF(OR(AND(VALUE(D16)&lt;3,P16=R16),AND(VALUE(D16)&gt;3,Q16=R16)),1,0))))</f>
        <v/>
      </c>
      <c r="U16" s="6">
        <f>IF(AND(M16="纳入",IFERROR(VALUE(D16),0)=6),1,0)</f>
        <v>0</v>
      </c>
      <c r="V16" s="6">
        <f>IF(AND(M16="纳入",IFERROR(VALUE(D16),0)=3),1,0)</f>
        <v>0</v>
      </c>
      <c r="W16" s="6">
        <f>IF(AND(M16="纳入",ISNUMBER(T16),T16=1),1,0)</f>
        <v>0</v>
      </c>
      <c r="X16" s="6">
        <f>IF(AND(M16="纳入",ISNUMBER(T16),T16=0),1,0)</f>
        <v>0</v>
      </c>
      <c r="Y16" s="6">
        <f>IF(AND(M16="纳入",ISNUMBER(T16)),1,0)</f>
        <v>0</v>
      </c>
      <c r="Z16" s="6">
        <f>IF(M16&lt;&gt;"纳入","",IF(VALUE(E16)=6,"",IF(VALUE(E16)=3,0.5,IF(OR(AND(VALUE(E16)&lt;3,P16=R16),AND(VALUE(E16)&gt;3,Q16=R16)),1,0))))</f>
        <v/>
      </c>
      <c r="AA16" s="6">
        <f>IF(M16&lt;&gt;"纳入","",IF(VALUE(F16)=6,"",IF(VALUE(F16)=3,0.5,IF(OR(AND(VALUE(F16)&lt;3,P16=R16),AND(VALUE(F16)&gt;3,Q16=R16)),1,0))))</f>
        <v/>
      </c>
      <c r="AB16" s="6">
        <f>IF(M16&lt;&gt;"纳入","",IF(VALUE(G16)=6,"",IF(VALUE(G16)=3,0.5,IF(OR(AND(VALUE(G16)&lt;3,P16=R16),AND(VALUE(G16)&gt;3,Q16=R16)),1,0))))</f>
        <v/>
      </c>
      <c r="AC16" s="6">
        <f>IF(M16&lt;&gt;"纳入","",IF(VALUE(H16)=6,"",IF(VALUE(H16)=3,0.5,IF(OR(AND(VALUE(H16)&lt;3,P16=R16),AND(VALUE(H16)&gt;3,Q16=R16)),1,0))))</f>
        <v/>
      </c>
      <c r="AD16" s="6">
        <f>IF(M16&lt;&gt;"纳入","",IF(VALUE(I16)=6,"",IF(VALUE(I16)=3,0.5,IF(OR(AND(VALUE(I16)&lt;3,P16=R16),AND(VALUE(I16)&gt;3,Q16=R16)),1,0))))</f>
        <v/>
      </c>
    </row>
    <row r="17" spans="1:30" ht="28" customHeight="1">
      <c r="A17" s="4" t="s">
        <v>92</v>
      </c>
      <c r="B17" s="4">
        <v>5</v>
      </c>
      <c r="C17" s="4" t="s">
        <v>88</v>
      </c>
      <c r="D17" s="5"/>
      <c r="E17" s="5"/>
      <c r="F17" s="5"/>
      <c r="G17" s="5"/>
      <c r="H17" s="5"/>
      <c r="I17" s="5"/>
      <c r="J17" s="5"/>
      <c r="K17" s="5"/>
      <c r="L17" s="6">
        <f>SUM(IFERROR(IF(AND(VALUE(D17)&gt;=1,VALUE(D17)&lt;=6,MOD(VALUE(D17),1)=0),1,0),0),IFERROR(IF(AND(VALUE(E17)&gt;=1,VALUE(E17)&lt;=6,MOD(VALUE(E17),1)=0),1,0),0),IFERROR(IF(AND(VALUE(F17)&gt;=1,VALUE(F17)&lt;=6,MOD(VALUE(F17),1)=0),1,0),0),IFERROR(IF(AND(VALUE(G17)&gt;=1,VALUE(G17)&lt;=6,MOD(VALUE(G17),1)=0),1,0),0),IFERROR(IF(AND(VALUE(H17)&gt;=1,VALUE(H17)&lt;=6,MOD(VALUE(H17),1)=0),1,0),0),IFERROR(IF(AND(VALUE(I17)&gt;=1,VALUE(I17)&lt;=6,MOD(VALUE(I17),1)=0),1,0),0))</f>
        <v>0</v>
      </c>
      <c r="M17" s="6" t="str">
        <f>'参与者登记'!K8</f>
        <v>待回收</v>
      </c>
      <c r="N17" s="4" t="s">
        <v>81</v>
      </c>
      <c r="O17" s="4" t="s">
        <v>95</v>
      </c>
      <c r="P17" s="4" t="s">
        <v>84</v>
      </c>
      <c r="Q17" s="4" t="s">
        <v>83</v>
      </c>
      <c r="R17" s="4" t="s">
        <v>83</v>
      </c>
      <c r="S17" s="4" t="s">
        <v>84</v>
      </c>
      <c r="T17" s="6">
        <f>IF(M17&lt;&gt;"纳入","",IF(VALUE(D17)=6,"",IF(VALUE(D17)=3,0.5,IF(OR(AND(VALUE(D17)&lt;3,P17=R17),AND(VALUE(D17)&gt;3,Q17=R17)),1,0))))</f>
        <v/>
      </c>
      <c r="U17" s="6">
        <f>IF(AND(M17="纳入",IFERROR(VALUE(D17),0)=6),1,0)</f>
        <v>0</v>
      </c>
      <c r="V17" s="6">
        <f>IF(AND(M17="纳入",IFERROR(VALUE(D17),0)=3),1,0)</f>
        <v>0</v>
      </c>
      <c r="W17" s="6">
        <f>IF(AND(M17="纳入",ISNUMBER(T17),T17=1),1,0)</f>
        <v>0</v>
      </c>
      <c r="X17" s="6">
        <f>IF(AND(M17="纳入",ISNUMBER(T17),T17=0),1,0)</f>
        <v>0</v>
      </c>
      <c r="Y17" s="6">
        <f>IF(AND(M17="纳入",ISNUMBER(T17)),1,0)</f>
        <v>0</v>
      </c>
      <c r="Z17" s="6">
        <f>IF(M17&lt;&gt;"纳入","",IF(VALUE(E17)=6,"",IF(VALUE(E17)=3,0.5,IF(OR(AND(VALUE(E17)&lt;3,P17=R17),AND(VALUE(E17)&gt;3,Q17=R17)),1,0))))</f>
        <v/>
      </c>
      <c r="AA17" s="6">
        <f>IF(M17&lt;&gt;"纳入","",IF(VALUE(F17)=6,"",IF(VALUE(F17)=3,0.5,IF(OR(AND(VALUE(F17)&lt;3,P17=R17),AND(VALUE(F17)&gt;3,Q17=R17)),1,0))))</f>
        <v/>
      </c>
      <c r="AB17" s="6">
        <f>IF(M17&lt;&gt;"纳入","",IF(VALUE(G17)=6,"",IF(VALUE(G17)=3,0.5,IF(OR(AND(VALUE(G17)&lt;3,P17=R17),AND(VALUE(G17)&gt;3,Q17=R17)),1,0))))</f>
        <v/>
      </c>
      <c r="AC17" s="6">
        <f>IF(M17&lt;&gt;"纳入","",IF(VALUE(H17)=6,"",IF(VALUE(H17)=3,0.5,IF(OR(AND(VALUE(H17)&lt;3,P17=R17),AND(VALUE(H17)&gt;3,Q17=R17)),1,0))))</f>
        <v/>
      </c>
      <c r="AD17" s="6">
        <f>IF(M17&lt;&gt;"纳入","",IF(VALUE(I17)=6,"",IF(VALUE(I17)=3,0.5,IF(OR(AND(VALUE(I17)&lt;3,P17=R17),AND(VALUE(I17)&gt;3,Q17=R17)),1,0))))</f>
        <v/>
      </c>
    </row>
    <row r="18" spans="1:30" ht="28" customHeight="1">
      <c r="A18" s="4" t="s">
        <v>92</v>
      </c>
      <c r="B18" s="4">
        <v>6</v>
      </c>
      <c r="C18" s="4" t="s">
        <v>90</v>
      </c>
      <c r="D18" s="5"/>
      <c r="E18" s="5"/>
      <c r="F18" s="5"/>
      <c r="G18" s="5"/>
      <c r="H18" s="5"/>
      <c r="I18" s="5"/>
      <c r="J18" s="5"/>
      <c r="K18" s="5"/>
      <c r="L18" s="6">
        <f>SUM(IFERROR(IF(AND(VALUE(D18)&gt;=1,VALUE(D18)&lt;=6,MOD(VALUE(D18),1)=0),1,0),0),IFERROR(IF(AND(VALUE(E18)&gt;=1,VALUE(E18)&lt;=6,MOD(VALUE(E18),1)=0),1,0),0),IFERROR(IF(AND(VALUE(F18)&gt;=1,VALUE(F18)&lt;=6,MOD(VALUE(F18),1)=0),1,0),0),IFERROR(IF(AND(VALUE(G18)&gt;=1,VALUE(G18)&lt;=6,MOD(VALUE(G18),1)=0),1,0),0),IFERROR(IF(AND(VALUE(H18)&gt;=1,VALUE(H18)&lt;=6,MOD(VALUE(H18),1)=0),1,0),0),IFERROR(IF(AND(VALUE(I18)&gt;=1,VALUE(I18)&lt;=6,MOD(VALUE(I18),1)=0),1,0),0))</f>
        <v>0</v>
      </c>
      <c r="M18" s="6" t="str">
        <f>'参与者登记'!K8</f>
        <v>待回收</v>
      </c>
      <c r="N18" s="4" t="s">
        <v>72</v>
      </c>
      <c r="O18" s="4" t="s">
        <v>73</v>
      </c>
      <c r="P18" s="4" t="s">
        <v>75</v>
      </c>
      <c r="Q18" s="4" t="s">
        <v>87</v>
      </c>
      <c r="R18" s="4" t="s">
        <v>75</v>
      </c>
      <c r="S18" s="4" t="s">
        <v>87</v>
      </c>
      <c r="T18" s="6">
        <f>IF(M18&lt;&gt;"纳入","",IF(VALUE(D18)=6,"",IF(VALUE(D18)=3,0.5,IF(OR(AND(VALUE(D18)&lt;3,P18=R18),AND(VALUE(D18)&gt;3,Q18=R18)),1,0))))</f>
        <v/>
      </c>
      <c r="U18" s="6">
        <f>IF(AND(M18="纳入",IFERROR(VALUE(D18),0)=6),1,0)</f>
        <v>0</v>
      </c>
      <c r="V18" s="6">
        <f>IF(AND(M18="纳入",IFERROR(VALUE(D18),0)=3),1,0)</f>
        <v>0</v>
      </c>
      <c r="W18" s="6">
        <f>IF(AND(M18="纳入",ISNUMBER(T18),T18=1),1,0)</f>
        <v>0</v>
      </c>
      <c r="X18" s="6">
        <f>IF(AND(M18="纳入",ISNUMBER(T18),T18=0),1,0)</f>
        <v>0</v>
      </c>
      <c r="Y18" s="6">
        <f>IF(AND(M18="纳入",ISNUMBER(T18)),1,0)</f>
        <v>0</v>
      </c>
      <c r="Z18" s="6">
        <f>IF(M18&lt;&gt;"纳入","",IF(VALUE(E18)=6,"",IF(VALUE(E18)=3,0.5,IF(OR(AND(VALUE(E18)&lt;3,P18=R18),AND(VALUE(E18)&gt;3,Q18=R18)),1,0))))</f>
        <v/>
      </c>
      <c r="AA18" s="6">
        <f>IF(M18&lt;&gt;"纳入","",IF(VALUE(F18)=6,"",IF(VALUE(F18)=3,0.5,IF(OR(AND(VALUE(F18)&lt;3,P18=R18),AND(VALUE(F18)&gt;3,Q18=R18)),1,0))))</f>
        <v/>
      </c>
      <c r="AB18" s="6">
        <f>IF(M18&lt;&gt;"纳入","",IF(VALUE(G18)=6,"",IF(VALUE(G18)=3,0.5,IF(OR(AND(VALUE(G18)&lt;3,P18=R18),AND(VALUE(G18)&gt;3,Q18=R18)),1,0))))</f>
        <v/>
      </c>
      <c r="AC18" s="6">
        <f>IF(M18&lt;&gt;"纳入","",IF(VALUE(H18)=6,"",IF(VALUE(H18)=3,0.5,IF(OR(AND(VALUE(H18)&lt;3,P18=R18),AND(VALUE(H18)&gt;3,Q18=R18)),1,0))))</f>
        <v/>
      </c>
      <c r="AD18" s="6">
        <f>IF(M18&lt;&gt;"纳入","",IF(VALUE(I18)=6,"",IF(VALUE(I18)=3,0.5,IF(OR(AND(VALUE(I18)&lt;3,P18=R18),AND(VALUE(I18)&gt;3,Q18=R18)),1,0))))</f>
        <v/>
      </c>
    </row>
    <row r="19" spans="1:30" ht="28" customHeight="1">
      <c r="A19" s="4" t="s">
        <v>96</v>
      </c>
      <c r="B19" s="4">
        <v>1</v>
      </c>
      <c r="C19" s="4" t="s">
        <v>71</v>
      </c>
      <c r="D19" s="5"/>
      <c r="E19" s="5"/>
      <c r="F19" s="5"/>
      <c r="G19" s="5"/>
      <c r="H19" s="5"/>
      <c r="I19" s="5"/>
      <c r="J19" s="5"/>
      <c r="K19" s="5"/>
      <c r="L19" s="6">
        <f>SUM(IFERROR(IF(AND(VALUE(D19)&gt;=1,VALUE(D19)&lt;=6,MOD(VALUE(D19),1)=0),1,0),0),IFERROR(IF(AND(VALUE(E19)&gt;=1,VALUE(E19)&lt;=6,MOD(VALUE(E19),1)=0),1,0),0),IFERROR(IF(AND(VALUE(F19)&gt;=1,VALUE(F19)&lt;=6,MOD(VALUE(F19),1)=0),1,0),0),IFERROR(IF(AND(VALUE(G19)&gt;=1,VALUE(G19)&lt;=6,MOD(VALUE(G19),1)=0),1,0),0),IFERROR(IF(AND(VALUE(H19)&gt;=1,VALUE(H19)&lt;=6,MOD(VALUE(H19),1)=0),1,0),0),IFERROR(IF(AND(VALUE(I19)&gt;=1,VALUE(I19)&lt;=6,MOD(VALUE(I19),1)=0),1,0),0))</f>
        <v>0</v>
      </c>
      <c r="M19" s="6" t="str">
        <f>'参与者登记'!K9</f>
        <v>待回收</v>
      </c>
      <c r="N19" s="4" t="s">
        <v>81</v>
      </c>
      <c r="O19" s="4" t="s">
        <v>97</v>
      </c>
      <c r="P19" s="4" t="s">
        <v>83</v>
      </c>
      <c r="Q19" s="4" t="s">
        <v>84</v>
      </c>
      <c r="R19" s="4" t="s">
        <v>83</v>
      </c>
      <c r="S19" s="4" t="s">
        <v>84</v>
      </c>
      <c r="T19" s="6">
        <f>IF(M19&lt;&gt;"纳入","",IF(VALUE(D19)=6,"",IF(VALUE(D19)=3,0.5,IF(OR(AND(VALUE(D19)&lt;3,P19=R19),AND(VALUE(D19)&gt;3,Q19=R19)),1,0))))</f>
        <v/>
      </c>
      <c r="U19" s="6">
        <f>IF(AND(M19="纳入",IFERROR(VALUE(D19),0)=6),1,0)</f>
        <v>0</v>
      </c>
      <c r="V19" s="6">
        <f>IF(AND(M19="纳入",IFERROR(VALUE(D19),0)=3),1,0)</f>
        <v>0</v>
      </c>
      <c r="W19" s="6">
        <f>IF(AND(M19="纳入",ISNUMBER(T19),T19=1),1,0)</f>
        <v>0</v>
      </c>
      <c r="X19" s="6">
        <f>IF(AND(M19="纳入",ISNUMBER(T19),T19=0),1,0)</f>
        <v>0</v>
      </c>
      <c r="Y19" s="6">
        <f>IF(AND(M19="纳入",ISNUMBER(T19)),1,0)</f>
        <v>0</v>
      </c>
      <c r="Z19" s="6">
        <f>IF(M19&lt;&gt;"纳入","",IF(VALUE(E19)=6,"",IF(VALUE(E19)=3,0.5,IF(OR(AND(VALUE(E19)&lt;3,P19=R19),AND(VALUE(E19)&gt;3,Q19=R19)),1,0))))</f>
        <v/>
      </c>
      <c r="AA19" s="6">
        <f>IF(M19&lt;&gt;"纳入","",IF(VALUE(F19)=6,"",IF(VALUE(F19)=3,0.5,IF(OR(AND(VALUE(F19)&lt;3,P19=R19),AND(VALUE(F19)&gt;3,Q19=R19)),1,0))))</f>
        <v/>
      </c>
      <c r="AB19" s="6">
        <f>IF(M19&lt;&gt;"纳入","",IF(VALUE(G19)=6,"",IF(VALUE(G19)=3,0.5,IF(OR(AND(VALUE(G19)&lt;3,P19=R19),AND(VALUE(G19)&gt;3,Q19=R19)),1,0))))</f>
        <v/>
      </c>
      <c r="AC19" s="6">
        <f>IF(M19&lt;&gt;"纳入","",IF(VALUE(H19)=6,"",IF(VALUE(H19)=3,0.5,IF(OR(AND(VALUE(H19)&lt;3,P19=R19),AND(VALUE(H19)&gt;3,Q19=R19)),1,0))))</f>
        <v/>
      </c>
      <c r="AD19" s="6">
        <f>IF(M19&lt;&gt;"纳入","",IF(VALUE(I19)=6,"",IF(VALUE(I19)=3,0.5,IF(OR(AND(VALUE(I19)&lt;3,P19=R19),AND(VALUE(I19)&gt;3,Q19=R19)),1,0))))</f>
        <v/>
      </c>
    </row>
    <row r="20" spans="1:30" ht="28" customHeight="1">
      <c r="A20" s="4" t="s">
        <v>96</v>
      </c>
      <c r="B20" s="4">
        <v>2</v>
      </c>
      <c r="C20" s="4" t="s">
        <v>76</v>
      </c>
      <c r="D20" s="5"/>
      <c r="E20" s="5"/>
      <c r="F20" s="5"/>
      <c r="G20" s="5"/>
      <c r="H20" s="5"/>
      <c r="I20" s="5"/>
      <c r="J20" s="5"/>
      <c r="K20" s="5"/>
      <c r="L20" s="6">
        <f>SUM(IFERROR(IF(AND(VALUE(D20)&gt;=1,VALUE(D20)&lt;=6,MOD(VALUE(D20),1)=0),1,0),0),IFERROR(IF(AND(VALUE(E20)&gt;=1,VALUE(E20)&lt;=6,MOD(VALUE(E20),1)=0),1,0),0),IFERROR(IF(AND(VALUE(F20)&gt;=1,VALUE(F20)&lt;=6,MOD(VALUE(F20),1)=0),1,0),0),IFERROR(IF(AND(VALUE(G20)&gt;=1,VALUE(G20)&lt;=6,MOD(VALUE(G20),1)=0),1,0),0),IFERROR(IF(AND(VALUE(H20)&gt;=1,VALUE(H20)&lt;=6,MOD(VALUE(H20),1)=0),1,0),0),IFERROR(IF(AND(VALUE(I20)&gt;=1,VALUE(I20)&lt;=6,MOD(VALUE(I20),1)=0),1,0),0))</f>
        <v>0</v>
      </c>
      <c r="M20" s="6" t="str">
        <f>'参与者登记'!K9</f>
        <v>待回收</v>
      </c>
      <c r="N20" s="4" t="s">
        <v>72</v>
      </c>
      <c r="O20" s="4" t="s">
        <v>77</v>
      </c>
      <c r="P20" s="4" t="s">
        <v>74</v>
      </c>
      <c r="Q20" s="4" t="s">
        <v>87</v>
      </c>
      <c r="R20" s="4" t="s">
        <v>74</v>
      </c>
      <c r="S20" s="4" t="s">
        <v>87</v>
      </c>
      <c r="T20" s="6">
        <f>IF(M20&lt;&gt;"纳入","",IF(VALUE(D20)=6,"",IF(VALUE(D20)=3,0.5,IF(OR(AND(VALUE(D20)&lt;3,P20=R20),AND(VALUE(D20)&gt;3,Q20=R20)),1,0))))</f>
        <v/>
      </c>
      <c r="U20" s="6">
        <f>IF(AND(M20="纳入",IFERROR(VALUE(D20),0)=6),1,0)</f>
        <v>0</v>
      </c>
      <c r="V20" s="6">
        <f>IF(AND(M20="纳入",IFERROR(VALUE(D20),0)=3),1,0)</f>
        <v>0</v>
      </c>
      <c r="W20" s="6">
        <f>IF(AND(M20="纳入",ISNUMBER(T20),T20=1),1,0)</f>
        <v>0</v>
      </c>
      <c r="X20" s="6">
        <f>IF(AND(M20="纳入",ISNUMBER(T20),T20=0),1,0)</f>
        <v>0</v>
      </c>
      <c r="Y20" s="6">
        <f>IF(AND(M20="纳入",ISNUMBER(T20)),1,0)</f>
        <v>0</v>
      </c>
      <c r="Z20" s="6">
        <f>IF(M20&lt;&gt;"纳入","",IF(VALUE(E20)=6,"",IF(VALUE(E20)=3,0.5,IF(OR(AND(VALUE(E20)&lt;3,P20=R20),AND(VALUE(E20)&gt;3,Q20=R20)),1,0))))</f>
        <v/>
      </c>
      <c r="AA20" s="6">
        <f>IF(M20&lt;&gt;"纳入","",IF(VALUE(F20)=6,"",IF(VALUE(F20)=3,0.5,IF(OR(AND(VALUE(F20)&lt;3,P20=R20),AND(VALUE(F20)&gt;3,Q20=R20)),1,0))))</f>
        <v/>
      </c>
      <c r="AB20" s="6">
        <f>IF(M20&lt;&gt;"纳入","",IF(VALUE(G20)=6,"",IF(VALUE(G20)=3,0.5,IF(OR(AND(VALUE(G20)&lt;3,P20=R20),AND(VALUE(G20)&gt;3,Q20=R20)),1,0))))</f>
        <v/>
      </c>
      <c r="AC20" s="6">
        <f>IF(M20&lt;&gt;"纳入","",IF(VALUE(H20)=6,"",IF(VALUE(H20)=3,0.5,IF(OR(AND(VALUE(H20)&lt;3,P20=R20),AND(VALUE(H20)&gt;3,Q20=R20)),1,0))))</f>
        <v/>
      </c>
      <c r="AD20" s="6">
        <f>IF(M20&lt;&gt;"纳入","",IF(VALUE(I20)=6,"",IF(VALUE(I20)=3,0.5,IF(OR(AND(VALUE(I20)&lt;3,P20=R20),AND(VALUE(I20)&gt;3,Q20=R20)),1,0))))</f>
        <v/>
      </c>
    </row>
    <row r="21" spans="1:30" ht="28" customHeight="1">
      <c r="A21" s="4" t="s">
        <v>96</v>
      </c>
      <c r="B21" s="4">
        <v>3</v>
      </c>
      <c r="C21" s="4" t="s">
        <v>80</v>
      </c>
      <c r="D21" s="5"/>
      <c r="E21" s="5"/>
      <c r="F21" s="5"/>
      <c r="G21" s="5"/>
      <c r="H21" s="5"/>
      <c r="I21" s="5"/>
      <c r="J21" s="5"/>
      <c r="K21" s="5"/>
      <c r="L21" s="6">
        <f>SUM(IFERROR(IF(AND(VALUE(D21)&gt;=1,VALUE(D21)&lt;=6,MOD(VALUE(D21),1)=0),1,0),0),IFERROR(IF(AND(VALUE(E21)&gt;=1,VALUE(E21)&lt;=6,MOD(VALUE(E21),1)=0),1,0),0),IFERROR(IF(AND(VALUE(F21)&gt;=1,VALUE(F21)&lt;=6,MOD(VALUE(F21),1)=0),1,0),0),IFERROR(IF(AND(VALUE(G21)&gt;=1,VALUE(G21)&lt;=6,MOD(VALUE(G21),1)=0),1,0),0),IFERROR(IF(AND(VALUE(H21)&gt;=1,VALUE(H21)&lt;=6,MOD(VALUE(H21),1)=0),1,0),0),IFERROR(IF(AND(VALUE(I21)&gt;=1,VALUE(I21)&lt;=6,MOD(VALUE(I21),1)=0),1,0),0))</f>
        <v>0</v>
      </c>
      <c r="M21" s="6" t="str">
        <f>'参与者登记'!K9</f>
        <v>待回收</v>
      </c>
      <c r="N21" s="4" t="s">
        <v>72</v>
      </c>
      <c r="O21" s="4" t="s">
        <v>73</v>
      </c>
      <c r="P21" s="4" t="s">
        <v>79</v>
      </c>
      <c r="Q21" s="4" t="s">
        <v>87</v>
      </c>
      <c r="R21" s="4" t="s">
        <v>79</v>
      </c>
      <c r="S21" s="4" t="s">
        <v>87</v>
      </c>
      <c r="T21" s="6">
        <f>IF(M21&lt;&gt;"纳入","",IF(VALUE(D21)=6,"",IF(VALUE(D21)=3,0.5,IF(OR(AND(VALUE(D21)&lt;3,P21=R21),AND(VALUE(D21)&gt;3,Q21=R21)),1,0))))</f>
        <v/>
      </c>
      <c r="U21" s="6">
        <f>IF(AND(M21="纳入",IFERROR(VALUE(D21),0)=6),1,0)</f>
        <v>0</v>
      </c>
      <c r="V21" s="6">
        <f>IF(AND(M21="纳入",IFERROR(VALUE(D21),0)=3),1,0)</f>
        <v>0</v>
      </c>
      <c r="W21" s="6">
        <f>IF(AND(M21="纳入",ISNUMBER(T21),T21=1),1,0)</f>
        <v>0</v>
      </c>
      <c r="X21" s="6">
        <f>IF(AND(M21="纳入",ISNUMBER(T21),T21=0),1,0)</f>
        <v>0</v>
      </c>
      <c r="Y21" s="6">
        <f>IF(AND(M21="纳入",ISNUMBER(T21)),1,0)</f>
        <v>0</v>
      </c>
      <c r="Z21" s="6">
        <f>IF(M21&lt;&gt;"纳入","",IF(VALUE(E21)=6,"",IF(VALUE(E21)=3,0.5,IF(OR(AND(VALUE(E21)&lt;3,P21=R21),AND(VALUE(E21)&gt;3,Q21=R21)),1,0))))</f>
        <v/>
      </c>
      <c r="AA21" s="6">
        <f>IF(M21&lt;&gt;"纳入","",IF(VALUE(F21)=6,"",IF(VALUE(F21)=3,0.5,IF(OR(AND(VALUE(F21)&lt;3,P21=R21),AND(VALUE(F21)&gt;3,Q21=R21)),1,0))))</f>
        <v/>
      </c>
      <c r="AB21" s="6">
        <f>IF(M21&lt;&gt;"纳入","",IF(VALUE(G21)=6,"",IF(VALUE(G21)=3,0.5,IF(OR(AND(VALUE(G21)&lt;3,P21=R21),AND(VALUE(G21)&gt;3,Q21=R21)),1,0))))</f>
        <v/>
      </c>
      <c r="AC21" s="6">
        <f>IF(M21&lt;&gt;"纳入","",IF(VALUE(H21)=6,"",IF(VALUE(H21)=3,0.5,IF(OR(AND(VALUE(H21)&lt;3,P21=R21),AND(VALUE(H21)&gt;3,Q21=R21)),1,0))))</f>
        <v/>
      </c>
      <c r="AD21" s="6">
        <f>IF(M21&lt;&gt;"纳入","",IF(VALUE(I21)=6,"",IF(VALUE(I21)=3,0.5,IF(OR(AND(VALUE(I21)&lt;3,P21=R21),AND(VALUE(I21)&gt;3,Q21=R21)),1,0))))</f>
        <v/>
      </c>
    </row>
    <row r="22" spans="1:30" ht="28" customHeight="1">
      <c r="A22" s="4" t="s">
        <v>96</v>
      </c>
      <c r="B22" s="4">
        <v>4</v>
      </c>
      <c r="C22" s="4" t="s">
        <v>85</v>
      </c>
      <c r="D22" s="5"/>
      <c r="E22" s="5"/>
      <c r="F22" s="5"/>
      <c r="G22" s="5"/>
      <c r="H22" s="5"/>
      <c r="I22" s="5"/>
      <c r="J22" s="5"/>
      <c r="K22" s="5"/>
      <c r="L22" s="6">
        <f>SUM(IFERROR(IF(AND(VALUE(D22)&gt;=1,VALUE(D22)&lt;=6,MOD(VALUE(D22),1)=0),1,0),0),IFERROR(IF(AND(VALUE(E22)&gt;=1,VALUE(E22)&lt;=6,MOD(VALUE(E22),1)=0),1,0),0),IFERROR(IF(AND(VALUE(F22)&gt;=1,VALUE(F22)&lt;=6,MOD(VALUE(F22),1)=0),1,0),0),IFERROR(IF(AND(VALUE(G22)&gt;=1,VALUE(G22)&lt;=6,MOD(VALUE(G22),1)=0),1,0),0),IFERROR(IF(AND(VALUE(H22)&gt;=1,VALUE(H22)&lt;=6,MOD(VALUE(H22),1)=0),1,0),0),IFERROR(IF(AND(VALUE(I22)&gt;=1,VALUE(I22)&lt;=6,MOD(VALUE(I22),1)=0),1,0),0))</f>
        <v>0</v>
      </c>
      <c r="M22" s="6" t="str">
        <f>'参与者登记'!K9</f>
        <v>待回收</v>
      </c>
      <c r="N22" s="4" t="s">
        <v>81</v>
      </c>
      <c r="O22" s="4" t="s">
        <v>98</v>
      </c>
      <c r="P22" s="4" t="s">
        <v>84</v>
      </c>
      <c r="Q22" s="4" t="s">
        <v>83</v>
      </c>
      <c r="R22" s="4" t="s">
        <v>83</v>
      </c>
      <c r="S22" s="4" t="s">
        <v>84</v>
      </c>
      <c r="T22" s="6">
        <f>IF(M22&lt;&gt;"纳入","",IF(VALUE(D22)=6,"",IF(VALUE(D22)=3,0.5,IF(OR(AND(VALUE(D22)&lt;3,P22=R22),AND(VALUE(D22)&gt;3,Q22=R22)),1,0))))</f>
        <v/>
      </c>
      <c r="U22" s="6">
        <f>IF(AND(M22="纳入",IFERROR(VALUE(D22),0)=6),1,0)</f>
        <v>0</v>
      </c>
      <c r="V22" s="6">
        <f>IF(AND(M22="纳入",IFERROR(VALUE(D22),0)=3),1,0)</f>
        <v>0</v>
      </c>
      <c r="W22" s="6">
        <f>IF(AND(M22="纳入",ISNUMBER(T22),T22=1),1,0)</f>
        <v>0</v>
      </c>
      <c r="X22" s="6">
        <f>IF(AND(M22="纳入",ISNUMBER(T22),T22=0),1,0)</f>
        <v>0</v>
      </c>
      <c r="Y22" s="6">
        <f>IF(AND(M22="纳入",ISNUMBER(T22)),1,0)</f>
        <v>0</v>
      </c>
      <c r="Z22" s="6">
        <f>IF(M22&lt;&gt;"纳入","",IF(VALUE(E22)=6,"",IF(VALUE(E22)=3,0.5,IF(OR(AND(VALUE(E22)&lt;3,P22=R22),AND(VALUE(E22)&gt;3,Q22=R22)),1,0))))</f>
        <v/>
      </c>
      <c r="AA22" s="6">
        <f>IF(M22&lt;&gt;"纳入","",IF(VALUE(F22)=6,"",IF(VALUE(F22)=3,0.5,IF(OR(AND(VALUE(F22)&lt;3,P22=R22),AND(VALUE(F22)&gt;3,Q22=R22)),1,0))))</f>
        <v/>
      </c>
      <c r="AB22" s="6">
        <f>IF(M22&lt;&gt;"纳入","",IF(VALUE(G22)=6,"",IF(VALUE(G22)=3,0.5,IF(OR(AND(VALUE(G22)&lt;3,P22=R22),AND(VALUE(G22)&gt;3,Q22=R22)),1,0))))</f>
        <v/>
      </c>
      <c r="AC22" s="6">
        <f>IF(M22&lt;&gt;"纳入","",IF(VALUE(H22)=6,"",IF(VALUE(H22)=3,0.5,IF(OR(AND(VALUE(H22)&lt;3,P22=R22),AND(VALUE(H22)&gt;3,Q22=R22)),1,0))))</f>
        <v/>
      </c>
      <c r="AD22" s="6">
        <f>IF(M22&lt;&gt;"纳入","",IF(VALUE(I22)=6,"",IF(VALUE(I22)=3,0.5,IF(OR(AND(VALUE(I22)&lt;3,P22=R22),AND(VALUE(I22)&gt;3,Q22=R22)),1,0))))</f>
        <v/>
      </c>
    </row>
    <row r="23" spans="1:30" ht="28" customHeight="1">
      <c r="A23" s="4" t="s">
        <v>96</v>
      </c>
      <c r="B23" s="4">
        <v>5</v>
      </c>
      <c r="C23" s="4" t="s">
        <v>88</v>
      </c>
      <c r="D23" s="5"/>
      <c r="E23" s="5"/>
      <c r="F23" s="5"/>
      <c r="G23" s="5"/>
      <c r="H23" s="5"/>
      <c r="I23" s="5"/>
      <c r="J23" s="5"/>
      <c r="K23" s="5"/>
      <c r="L23" s="6">
        <f>SUM(IFERROR(IF(AND(VALUE(D23)&gt;=1,VALUE(D23)&lt;=6,MOD(VALUE(D23),1)=0),1,0),0),IFERROR(IF(AND(VALUE(E23)&gt;=1,VALUE(E23)&lt;=6,MOD(VALUE(E23),1)=0),1,0),0),IFERROR(IF(AND(VALUE(F23)&gt;=1,VALUE(F23)&lt;=6,MOD(VALUE(F23),1)=0),1,0),0),IFERROR(IF(AND(VALUE(G23)&gt;=1,VALUE(G23)&lt;=6,MOD(VALUE(G23),1)=0),1,0),0),IFERROR(IF(AND(VALUE(H23)&gt;=1,VALUE(H23)&lt;=6,MOD(VALUE(H23),1)=0),1,0),0),IFERROR(IF(AND(VALUE(I23)&gt;=1,VALUE(I23)&lt;=6,MOD(VALUE(I23),1)=0),1,0),0))</f>
        <v>0</v>
      </c>
      <c r="M23" s="6" t="str">
        <f>'参与者登记'!K9</f>
        <v>待回收</v>
      </c>
      <c r="N23" s="4" t="s">
        <v>72</v>
      </c>
      <c r="O23" s="4" t="s">
        <v>77</v>
      </c>
      <c r="P23" s="4" t="s">
        <v>94</v>
      </c>
      <c r="Q23" s="4" t="s">
        <v>78</v>
      </c>
      <c r="R23" s="4" t="s">
        <v>78</v>
      </c>
      <c r="S23" s="4" t="s">
        <v>94</v>
      </c>
      <c r="T23" s="6">
        <f>IF(M23&lt;&gt;"纳入","",IF(VALUE(D23)=6,"",IF(VALUE(D23)=3,0.5,IF(OR(AND(VALUE(D23)&lt;3,P23=R23),AND(VALUE(D23)&gt;3,Q23=R23)),1,0))))</f>
        <v/>
      </c>
      <c r="U23" s="6">
        <f>IF(AND(M23="纳入",IFERROR(VALUE(D23),0)=6),1,0)</f>
        <v>0</v>
      </c>
      <c r="V23" s="6">
        <f>IF(AND(M23="纳入",IFERROR(VALUE(D23),0)=3),1,0)</f>
        <v>0</v>
      </c>
      <c r="W23" s="6">
        <f>IF(AND(M23="纳入",ISNUMBER(T23),T23=1),1,0)</f>
        <v>0</v>
      </c>
      <c r="X23" s="6">
        <f>IF(AND(M23="纳入",ISNUMBER(T23),T23=0),1,0)</f>
        <v>0</v>
      </c>
      <c r="Y23" s="6">
        <f>IF(AND(M23="纳入",ISNUMBER(T23)),1,0)</f>
        <v>0</v>
      </c>
      <c r="Z23" s="6">
        <f>IF(M23&lt;&gt;"纳入","",IF(VALUE(E23)=6,"",IF(VALUE(E23)=3,0.5,IF(OR(AND(VALUE(E23)&lt;3,P23=R23),AND(VALUE(E23)&gt;3,Q23=R23)),1,0))))</f>
        <v/>
      </c>
      <c r="AA23" s="6">
        <f>IF(M23&lt;&gt;"纳入","",IF(VALUE(F23)=6,"",IF(VALUE(F23)=3,0.5,IF(OR(AND(VALUE(F23)&lt;3,P23=R23),AND(VALUE(F23)&gt;3,Q23=R23)),1,0))))</f>
        <v/>
      </c>
      <c r="AB23" s="6">
        <f>IF(M23&lt;&gt;"纳入","",IF(VALUE(G23)=6,"",IF(VALUE(G23)=3,0.5,IF(OR(AND(VALUE(G23)&lt;3,P23=R23),AND(VALUE(G23)&gt;3,Q23=R23)),1,0))))</f>
        <v/>
      </c>
      <c r="AC23" s="6">
        <f>IF(M23&lt;&gt;"纳入","",IF(VALUE(H23)=6,"",IF(VALUE(H23)=3,0.5,IF(OR(AND(VALUE(H23)&lt;3,P23=R23),AND(VALUE(H23)&gt;3,Q23=R23)),1,0))))</f>
        <v/>
      </c>
      <c r="AD23" s="6">
        <f>IF(M23&lt;&gt;"纳入","",IF(VALUE(I23)=6,"",IF(VALUE(I23)=3,0.5,IF(OR(AND(VALUE(I23)&lt;3,P23=R23),AND(VALUE(I23)&gt;3,Q23=R23)),1,0))))</f>
        <v/>
      </c>
    </row>
    <row r="24" spans="1:30" ht="28" customHeight="1">
      <c r="A24" s="4" t="s">
        <v>96</v>
      </c>
      <c r="B24" s="4">
        <v>6</v>
      </c>
      <c r="C24" s="4" t="s">
        <v>90</v>
      </c>
      <c r="D24" s="5"/>
      <c r="E24" s="5"/>
      <c r="F24" s="5"/>
      <c r="G24" s="5"/>
      <c r="H24" s="5"/>
      <c r="I24" s="5"/>
      <c r="J24" s="5"/>
      <c r="K24" s="5"/>
      <c r="L24" s="6">
        <f>SUM(IFERROR(IF(AND(VALUE(D24)&gt;=1,VALUE(D24)&lt;=6,MOD(VALUE(D24),1)=0),1,0),0),IFERROR(IF(AND(VALUE(E24)&gt;=1,VALUE(E24)&lt;=6,MOD(VALUE(E24),1)=0),1,0),0),IFERROR(IF(AND(VALUE(F24)&gt;=1,VALUE(F24)&lt;=6,MOD(VALUE(F24),1)=0),1,0),0),IFERROR(IF(AND(VALUE(G24)&gt;=1,VALUE(G24)&lt;=6,MOD(VALUE(G24),1)=0),1,0),0),IFERROR(IF(AND(VALUE(H24)&gt;=1,VALUE(H24)&lt;=6,MOD(VALUE(H24),1)=0),1,0),0),IFERROR(IF(AND(VALUE(I24)&gt;=1,VALUE(I24)&lt;=6,MOD(VALUE(I24),1)=0),1,0),0))</f>
        <v>0</v>
      </c>
      <c r="M24" s="6" t="str">
        <f>'参与者登记'!K9</f>
        <v>待回收</v>
      </c>
      <c r="N24" s="4" t="s">
        <v>72</v>
      </c>
      <c r="O24" s="4" t="s">
        <v>86</v>
      </c>
      <c r="P24" s="4" t="s">
        <v>75</v>
      </c>
      <c r="Q24" s="4" t="s">
        <v>87</v>
      </c>
      <c r="R24" s="4" t="s">
        <v>75</v>
      </c>
      <c r="S24" s="4" t="s">
        <v>87</v>
      </c>
      <c r="T24" s="6">
        <f>IF(M24&lt;&gt;"纳入","",IF(VALUE(D24)=6,"",IF(VALUE(D24)=3,0.5,IF(OR(AND(VALUE(D24)&lt;3,P24=R24),AND(VALUE(D24)&gt;3,Q24=R24)),1,0))))</f>
        <v/>
      </c>
      <c r="U24" s="6">
        <f>IF(AND(M24="纳入",IFERROR(VALUE(D24),0)=6),1,0)</f>
        <v>0</v>
      </c>
      <c r="V24" s="6">
        <f>IF(AND(M24="纳入",IFERROR(VALUE(D24),0)=3),1,0)</f>
        <v>0</v>
      </c>
      <c r="W24" s="6">
        <f>IF(AND(M24="纳入",ISNUMBER(T24),T24=1),1,0)</f>
        <v>0</v>
      </c>
      <c r="X24" s="6">
        <f>IF(AND(M24="纳入",ISNUMBER(T24),T24=0),1,0)</f>
        <v>0</v>
      </c>
      <c r="Y24" s="6">
        <f>IF(AND(M24="纳入",ISNUMBER(T24)),1,0)</f>
        <v>0</v>
      </c>
      <c r="Z24" s="6">
        <f>IF(M24&lt;&gt;"纳入","",IF(VALUE(E24)=6,"",IF(VALUE(E24)=3,0.5,IF(OR(AND(VALUE(E24)&lt;3,P24=R24),AND(VALUE(E24)&gt;3,Q24=R24)),1,0))))</f>
        <v/>
      </c>
      <c r="AA24" s="6">
        <f>IF(M24&lt;&gt;"纳入","",IF(VALUE(F24)=6,"",IF(VALUE(F24)=3,0.5,IF(OR(AND(VALUE(F24)&lt;3,P24=R24),AND(VALUE(F24)&gt;3,Q24=R24)),1,0))))</f>
        <v/>
      </c>
      <c r="AB24" s="6">
        <f>IF(M24&lt;&gt;"纳入","",IF(VALUE(G24)=6,"",IF(VALUE(G24)=3,0.5,IF(OR(AND(VALUE(G24)&lt;3,P24=R24),AND(VALUE(G24)&gt;3,Q24=R24)),1,0))))</f>
        <v/>
      </c>
      <c r="AC24" s="6">
        <f>IF(M24&lt;&gt;"纳入","",IF(VALUE(H24)=6,"",IF(VALUE(H24)=3,0.5,IF(OR(AND(VALUE(H24)&lt;3,P24=R24),AND(VALUE(H24)&gt;3,Q24=R24)),1,0))))</f>
        <v/>
      </c>
      <c r="AD24" s="6">
        <f>IF(M24&lt;&gt;"纳入","",IF(VALUE(I24)=6,"",IF(VALUE(I24)=3,0.5,IF(OR(AND(VALUE(I24)&lt;3,P24=R24),AND(VALUE(I24)&gt;3,Q24=R24)),1,0))))</f>
        <v/>
      </c>
    </row>
    <row r="25" spans="1:30" ht="28" customHeight="1">
      <c r="A25" s="4" t="s">
        <v>99</v>
      </c>
      <c r="B25" s="4">
        <v>1</v>
      </c>
      <c r="C25" s="4" t="s">
        <v>71</v>
      </c>
      <c r="D25" s="5"/>
      <c r="E25" s="5"/>
      <c r="F25" s="5"/>
      <c r="G25" s="5"/>
      <c r="H25" s="5"/>
      <c r="I25" s="5"/>
      <c r="J25" s="5"/>
      <c r="K25" s="5"/>
      <c r="L25" s="6">
        <f>SUM(IFERROR(IF(AND(VALUE(D25)&gt;=1,VALUE(D25)&lt;=6,MOD(VALUE(D25),1)=0),1,0),0),IFERROR(IF(AND(VALUE(E25)&gt;=1,VALUE(E25)&lt;=6,MOD(VALUE(E25),1)=0),1,0),0),IFERROR(IF(AND(VALUE(F25)&gt;=1,VALUE(F25)&lt;=6,MOD(VALUE(F25),1)=0),1,0),0),IFERROR(IF(AND(VALUE(G25)&gt;=1,VALUE(G25)&lt;=6,MOD(VALUE(G25),1)=0),1,0),0),IFERROR(IF(AND(VALUE(H25)&gt;=1,VALUE(H25)&lt;=6,MOD(VALUE(H25),1)=0),1,0),0),IFERROR(IF(AND(VALUE(I25)&gt;=1,VALUE(I25)&lt;=6,MOD(VALUE(I25),1)=0),1,0),0))</f>
        <v>0</v>
      </c>
      <c r="M25" s="6" t="str">
        <f>'参与者登记'!K10</f>
        <v>待回收</v>
      </c>
      <c r="N25" s="4" t="s">
        <v>72</v>
      </c>
      <c r="O25" s="4" t="s">
        <v>86</v>
      </c>
      <c r="P25" s="4" t="s">
        <v>75</v>
      </c>
      <c r="Q25" s="4" t="s">
        <v>78</v>
      </c>
      <c r="R25" s="4" t="s">
        <v>78</v>
      </c>
      <c r="S25" s="4" t="s">
        <v>75</v>
      </c>
      <c r="T25" s="6">
        <f>IF(M25&lt;&gt;"纳入","",IF(VALUE(D25)=6,"",IF(VALUE(D25)=3,0.5,IF(OR(AND(VALUE(D25)&lt;3,P25=R25),AND(VALUE(D25)&gt;3,Q25=R25)),1,0))))</f>
        <v/>
      </c>
      <c r="U25" s="6">
        <f>IF(AND(M25="纳入",IFERROR(VALUE(D25),0)=6),1,0)</f>
        <v>0</v>
      </c>
      <c r="V25" s="6">
        <f>IF(AND(M25="纳入",IFERROR(VALUE(D25),0)=3),1,0)</f>
        <v>0</v>
      </c>
      <c r="W25" s="6">
        <f>IF(AND(M25="纳入",ISNUMBER(T25),T25=1),1,0)</f>
        <v>0</v>
      </c>
      <c r="X25" s="6">
        <f>IF(AND(M25="纳入",ISNUMBER(T25),T25=0),1,0)</f>
        <v>0</v>
      </c>
      <c r="Y25" s="6">
        <f>IF(AND(M25="纳入",ISNUMBER(T25)),1,0)</f>
        <v>0</v>
      </c>
      <c r="Z25" s="6">
        <f>IF(M25&lt;&gt;"纳入","",IF(VALUE(E25)=6,"",IF(VALUE(E25)=3,0.5,IF(OR(AND(VALUE(E25)&lt;3,P25=R25),AND(VALUE(E25)&gt;3,Q25=R25)),1,0))))</f>
        <v/>
      </c>
      <c r="AA25" s="6">
        <f>IF(M25&lt;&gt;"纳入","",IF(VALUE(F25)=6,"",IF(VALUE(F25)=3,0.5,IF(OR(AND(VALUE(F25)&lt;3,P25=R25),AND(VALUE(F25)&gt;3,Q25=R25)),1,0))))</f>
        <v/>
      </c>
      <c r="AB25" s="6">
        <f>IF(M25&lt;&gt;"纳入","",IF(VALUE(G25)=6,"",IF(VALUE(G25)=3,0.5,IF(OR(AND(VALUE(G25)&lt;3,P25=R25),AND(VALUE(G25)&gt;3,Q25=R25)),1,0))))</f>
        <v/>
      </c>
      <c r="AC25" s="6">
        <f>IF(M25&lt;&gt;"纳入","",IF(VALUE(H25)=6,"",IF(VALUE(H25)=3,0.5,IF(OR(AND(VALUE(H25)&lt;3,P25=R25),AND(VALUE(H25)&gt;3,Q25=R25)),1,0))))</f>
        <v/>
      </c>
      <c r="AD25" s="6">
        <f>IF(M25&lt;&gt;"纳入","",IF(VALUE(I25)=6,"",IF(VALUE(I25)=3,0.5,IF(OR(AND(VALUE(I25)&lt;3,P25=R25),AND(VALUE(I25)&gt;3,Q25=R25)),1,0))))</f>
        <v/>
      </c>
    </row>
    <row r="26" spans="1:30" ht="28" customHeight="1">
      <c r="A26" s="4" t="s">
        <v>99</v>
      </c>
      <c r="B26" s="4">
        <v>2</v>
      </c>
      <c r="C26" s="4" t="s">
        <v>76</v>
      </c>
      <c r="D26" s="5"/>
      <c r="E26" s="5"/>
      <c r="F26" s="5"/>
      <c r="G26" s="5"/>
      <c r="H26" s="5"/>
      <c r="I26" s="5"/>
      <c r="J26" s="5"/>
      <c r="K26" s="5"/>
      <c r="L26" s="6">
        <f>SUM(IFERROR(IF(AND(VALUE(D26)&gt;=1,VALUE(D26)&lt;=6,MOD(VALUE(D26),1)=0),1,0),0),IFERROR(IF(AND(VALUE(E26)&gt;=1,VALUE(E26)&lt;=6,MOD(VALUE(E26),1)=0),1,0),0),IFERROR(IF(AND(VALUE(F26)&gt;=1,VALUE(F26)&lt;=6,MOD(VALUE(F26),1)=0),1,0),0),IFERROR(IF(AND(VALUE(G26)&gt;=1,VALUE(G26)&lt;=6,MOD(VALUE(G26),1)=0),1,0),0),IFERROR(IF(AND(VALUE(H26)&gt;=1,VALUE(H26)&lt;=6,MOD(VALUE(H26),1)=0),1,0),0),IFERROR(IF(AND(VALUE(I26)&gt;=1,VALUE(I26)&lt;=6,MOD(VALUE(I26),1)=0),1,0),0))</f>
        <v>0</v>
      </c>
      <c r="M26" s="6" t="str">
        <f>'参与者登记'!K10</f>
        <v>待回收</v>
      </c>
      <c r="N26" s="4" t="s">
        <v>72</v>
      </c>
      <c r="O26" s="4" t="s">
        <v>73</v>
      </c>
      <c r="P26" s="4" t="s">
        <v>79</v>
      </c>
      <c r="Q26" s="4" t="s">
        <v>78</v>
      </c>
      <c r="R26" s="4" t="s">
        <v>79</v>
      </c>
      <c r="S26" s="4" t="s">
        <v>78</v>
      </c>
      <c r="T26" s="6">
        <f>IF(M26&lt;&gt;"纳入","",IF(VALUE(D26)=6,"",IF(VALUE(D26)=3,0.5,IF(OR(AND(VALUE(D26)&lt;3,P26=R26),AND(VALUE(D26)&gt;3,Q26=R26)),1,0))))</f>
        <v/>
      </c>
      <c r="U26" s="6">
        <f>IF(AND(M26="纳入",IFERROR(VALUE(D26),0)=6),1,0)</f>
        <v>0</v>
      </c>
      <c r="V26" s="6">
        <f>IF(AND(M26="纳入",IFERROR(VALUE(D26),0)=3),1,0)</f>
        <v>0</v>
      </c>
      <c r="W26" s="6">
        <f>IF(AND(M26="纳入",ISNUMBER(T26),T26=1),1,0)</f>
        <v>0</v>
      </c>
      <c r="X26" s="6">
        <f>IF(AND(M26="纳入",ISNUMBER(T26),T26=0),1,0)</f>
        <v>0</v>
      </c>
      <c r="Y26" s="6">
        <f>IF(AND(M26="纳入",ISNUMBER(T26)),1,0)</f>
        <v>0</v>
      </c>
      <c r="Z26" s="6">
        <f>IF(M26&lt;&gt;"纳入","",IF(VALUE(E26)=6,"",IF(VALUE(E26)=3,0.5,IF(OR(AND(VALUE(E26)&lt;3,P26=R26),AND(VALUE(E26)&gt;3,Q26=R26)),1,0))))</f>
        <v/>
      </c>
      <c r="AA26" s="6">
        <f>IF(M26&lt;&gt;"纳入","",IF(VALUE(F26)=6,"",IF(VALUE(F26)=3,0.5,IF(OR(AND(VALUE(F26)&lt;3,P26=R26),AND(VALUE(F26)&gt;3,Q26=R26)),1,0))))</f>
        <v/>
      </c>
      <c r="AB26" s="6">
        <f>IF(M26&lt;&gt;"纳入","",IF(VALUE(G26)=6,"",IF(VALUE(G26)=3,0.5,IF(OR(AND(VALUE(G26)&lt;3,P26=R26),AND(VALUE(G26)&gt;3,Q26=R26)),1,0))))</f>
        <v/>
      </c>
      <c r="AC26" s="6">
        <f>IF(M26&lt;&gt;"纳入","",IF(VALUE(H26)=6,"",IF(VALUE(H26)=3,0.5,IF(OR(AND(VALUE(H26)&lt;3,P26=R26),AND(VALUE(H26)&gt;3,Q26=R26)),1,0))))</f>
        <v/>
      </c>
      <c r="AD26" s="6">
        <f>IF(M26&lt;&gt;"纳入","",IF(VALUE(I26)=6,"",IF(VALUE(I26)=3,0.5,IF(OR(AND(VALUE(I26)&lt;3,P26=R26),AND(VALUE(I26)&gt;3,Q26=R26)),1,0))))</f>
        <v/>
      </c>
    </row>
    <row r="27" spans="1:30" ht="28" customHeight="1">
      <c r="A27" s="4" t="s">
        <v>99</v>
      </c>
      <c r="B27" s="4">
        <v>3</v>
      </c>
      <c r="C27" s="4" t="s">
        <v>80</v>
      </c>
      <c r="D27" s="5"/>
      <c r="E27" s="5"/>
      <c r="F27" s="5"/>
      <c r="G27" s="5"/>
      <c r="H27" s="5"/>
      <c r="I27" s="5"/>
      <c r="J27" s="5"/>
      <c r="K27" s="5"/>
      <c r="L27" s="6">
        <f>SUM(IFERROR(IF(AND(VALUE(D27)&gt;=1,VALUE(D27)&lt;=6,MOD(VALUE(D27),1)=0),1,0),0),IFERROR(IF(AND(VALUE(E27)&gt;=1,VALUE(E27)&lt;=6,MOD(VALUE(E27),1)=0),1,0),0),IFERROR(IF(AND(VALUE(F27)&gt;=1,VALUE(F27)&lt;=6,MOD(VALUE(F27),1)=0),1,0),0),IFERROR(IF(AND(VALUE(G27)&gt;=1,VALUE(G27)&lt;=6,MOD(VALUE(G27),1)=0),1,0),0),IFERROR(IF(AND(VALUE(H27)&gt;=1,VALUE(H27)&lt;=6,MOD(VALUE(H27),1)=0),1,0),0),IFERROR(IF(AND(VALUE(I27)&gt;=1,VALUE(I27)&lt;=6,MOD(VALUE(I27),1)=0),1,0),0))</f>
        <v>0</v>
      </c>
      <c r="M27" s="6" t="str">
        <f>'参与者登记'!K10</f>
        <v>待回收</v>
      </c>
      <c r="N27" s="4" t="s">
        <v>81</v>
      </c>
      <c r="O27" s="4" t="s">
        <v>98</v>
      </c>
      <c r="P27" s="4" t="s">
        <v>83</v>
      </c>
      <c r="Q27" s="4" t="s">
        <v>84</v>
      </c>
      <c r="R27" s="4" t="s">
        <v>83</v>
      </c>
      <c r="S27" s="4" t="s">
        <v>84</v>
      </c>
      <c r="T27" s="6">
        <f>IF(M27&lt;&gt;"纳入","",IF(VALUE(D27)=6,"",IF(VALUE(D27)=3,0.5,IF(OR(AND(VALUE(D27)&lt;3,P27=R27),AND(VALUE(D27)&gt;3,Q27=R27)),1,0))))</f>
        <v/>
      </c>
      <c r="U27" s="6">
        <f>IF(AND(M27="纳入",IFERROR(VALUE(D27),0)=6),1,0)</f>
        <v>0</v>
      </c>
      <c r="V27" s="6">
        <f>IF(AND(M27="纳入",IFERROR(VALUE(D27),0)=3),1,0)</f>
        <v>0</v>
      </c>
      <c r="W27" s="6">
        <f>IF(AND(M27="纳入",ISNUMBER(T27),T27=1),1,0)</f>
        <v>0</v>
      </c>
      <c r="X27" s="6">
        <f>IF(AND(M27="纳入",ISNUMBER(T27),T27=0),1,0)</f>
        <v>0</v>
      </c>
      <c r="Y27" s="6">
        <f>IF(AND(M27="纳入",ISNUMBER(T27)),1,0)</f>
        <v>0</v>
      </c>
      <c r="Z27" s="6">
        <f>IF(M27&lt;&gt;"纳入","",IF(VALUE(E27)=6,"",IF(VALUE(E27)=3,0.5,IF(OR(AND(VALUE(E27)&lt;3,P27=R27),AND(VALUE(E27)&gt;3,Q27=R27)),1,0))))</f>
        <v/>
      </c>
      <c r="AA27" s="6">
        <f>IF(M27&lt;&gt;"纳入","",IF(VALUE(F27)=6,"",IF(VALUE(F27)=3,0.5,IF(OR(AND(VALUE(F27)&lt;3,P27=R27),AND(VALUE(F27)&gt;3,Q27=R27)),1,0))))</f>
        <v/>
      </c>
      <c r="AB27" s="6">
        <f>IF(M27&lt;&gt;"纳入","",IF(VALUE(G27)=6,"",IF(VALUE(G27)=3,0.5,IF(OR(AND(VALUE(G27)&lt;3,P27=R27),AND(VALUE(G27)&gt;3,Q27=R27)),1,0))))</f>
        <v/>
      </c>
      <c r="AC27" s="6">
        <f>IF(M27&lt;&gt;"纳入","",IF(VALUE(H27)=6,"",IF(VALUE(H27)=3,0.5,IF(OR(AND(VALUE(H27)&lt;3,P27=R27),AND(VALUE(H27)&gt;3,Q27=R27)),1,0))))</f>
        <v/>
      </c>
      <c r="AD27" s="6">
        <f>IF(M27&lt;&gt;"纳入","",IF(VALUE(I27)=6,"",IF(VALUE(I27)=3,0.5,IF(OR(AND(VALUE(I27)&lt;3,P27=R27),AND(VALUE(I27)&gt;3,Q27=R27)),1,0))))</f>
        <v/>
      </c>
    </row>
    <row r="28" spans="1:30" ht="28" customHeight="1">
      <c r="A28" s="4" t="s">
        <v>99</v>
      </c>
      <c r="B28" s="4">
        <v>4</v>
      </c>
      <c r="C28" s="4" t="s">
        <v>85</v>
      </c>
      <c r="D28" s="5"/>
      <c r="E28" s="5"/>
      <c r="F28" s="5"/>
      <c r="G28" s="5"/>
      <c r="H28" s="5"/>
      <c r="I28" s="5"/>
      <c r="J28" s="5"/>
      <c r="K28" s="5"/>
      <c r="L28" s="6">
        <f>SUM(IFERROR(IF(AND(VALUE(D28)&gt;=1,VALUE(D28)&lt;=6,MOD(VALUE(D28),1)=0),1,0),0),IFERROR(IF(AND(VALUE(E28)&gt;=1,VALUE(E28)&lt;=6,MOD(VALUE(E28),1)=0),1,0),0),IFERROR(IF(AND(VALUE(F28)&gt;=1,VALUE(F28)&lt;=6,MOD(VALUE(F28),1)=0),1,0),0),IFERROR(IF(AND(VALUE(G28)&gt;=1,VALUE(G28)&lt;=6,MOD(VALUE(G28),1)=0),1,0),0),IFERROR(IF(AND(VALUE(H28)&gt;=1,VALUE(H28)&lt;=6,MOD(VALUE(H28),1)=0),1,0),0),IFERROR(IF(AND(VALUE(I28)&gt;=1,VALUE(I28)&lt;=6,MOD(VALUE(I28),1)=0),1,0),0))</f>
        <v>0</v>
      </c>
      <c r="M28" s="6" t="str">
        <f>'参与者登记'!K10</f>
        <v>待回收</v>
      </c>
      <c r="N28" s="4" t="s">
        <v>72</v>
      </c>
      <c r="O28" s="4" t="s">
        <v>77</v>
      </c>
      <c r="P28" s="4" t="s">
        <v>75</v>
      </c>
      <c r="Q28" s="4" t="s">
        <v>79</v>
      </c>
      <c r="R28" s="4" t="s">
        <v>79</v>
      </c>
      <c r="S28" s="4" t="s">
        <v>75</v>
      </c>
      <c r="T28" s="6">
        <f>IF(M28&lt;&gt;"纳入","",IF(VALUE(D28)=6,"",IF(VALUE(D28)=3,0.5,IF(OR(AND(VALUE(D28)&lt;3,P28=R28),AND(VALUE(D28)&gt;3,Q28=R28)),1,0))))</f>
        <v/>
      </c>
      <c r="U28" s="6">
        <f>IF(AND(M28="纳入",IFERROR(VALUE(D28),0)=6),1,0)</f>
        <v>0</v>
      </c>
      <c r="V28" s="6">
        <f>IF(AND(M28="纳入",IFERROR(VALUE(D28),0)=3),1,0)</f>
        <v>0</v>
      </c>
      <c r="W28" s="6">
        <f>IF(AND(M28="纳入",ISNUMBER(T28),T28=1),1,0)</f>
        <v>0</v>
      </c>
      <c r="X28" s="6">
        <f>IF(AND(M28="纳入",ISNUMBER(T28),T28=0),1,0)</f>
        <v>0</v>
      </c>
      <c r="Y28" s="6">
        <f>IF(AND(M28="纳入",ISNUMBER(T28)),1,0)</f>
        <v>0</v>
      </c>
      <c r="Z28" s="6">
        <f>IF(M28&lt;&gt;"纳入","",IF(VALUE(E28)=6,"",IF(VALUE(E28)=3,0.5,IF(OR(AND(VALUE(E28)&lt;3,P28=R28),AND(VALUE(E28)&gt;3,Q28=R28)),1,0))))</f>
        <v/>
      </c>
      <c r="AA28" s="6">
        <f>IF(M28&lt;&gt;"纳入","",IF(VALUE(F28)=6,"",IF(VALUE(F28)=3,0.5,IF(OR(AND(VALUE(F28)&lt;3,P28=R28),AND(VALUE(F28)&gt;3,Q28=R28)),1,0))))</f>
        <v/>
      </c>
      <c r="AB28" s="6">
        <f>IF(M28&lt;&gt;"纳入","",IF(VALUE(G28)=6,"",IF(VALUE(G28)=3,0.5,IF(OR(AND(VALUE(G28)&lt;3,P28=R28),AND(VALUE(G28)&gt;3,Q28=R28)),1,0))))</f>
        <v/>
      </c>
      <c r="AC28" s="6">
        <f>IF(M28&lt;&gt;"纳入","",IF(VALUE(H28)=6,"",IF(VALUE(H28)=3,0.5,IF(OR(AND(VALUE(H28)&lt;3,P28=R28),AND(VALUE(H28)&gt;3,Q28=R28)),1,0))))</f>
        <v/>
      </c>
      <c r="AD28" s="6">
        <f>IF(M28&lt;&gt;"纳入","",IF(VALUE(I28)=6,"",IF(VALUE(I28)=3,0.5,IF(OR(AND(VALUE(I28)&lt;3,P28=R28),AND(VALUE(I28)&gt;3,Q28=R28)),1,0))))</f>
        <v/>
      </c>
    </row>
    <row r="29" spans="1:30" ht="28" customHeight="1">
      <c r="A29" s="4" t="s">
        <v>99</v>
      </c>
      <c r="B29" s="4">
        <v>5</v>
      </c>
      <c r="C29" s="4" t="s">
        <v>88</v>
      </c>
      <c r="D29" s="5"/>
      <c r="E29" s="5"/>
      <c r="F29" s="5"/>
      <c r="G29" s="5"/>
      <c r="H29" s="5"/>
      <c r="I29" s="5"/>
      <c r="J29" s="5"/>
      <c r="K29" s="5"/>
      <c r="L29" s="6">
        <f>SUM(IFERROR(IF(AND(VALUE(D29)&gt;=1,VALUE(D29)&lt;=6,MOD(VALUE(D29),1)=0),1,0),0),IFERROR(IF(AND(VALUE(E29)&gt;=1,VALUE(E29)&lt;=6,MOD(VALUE(E29),1)=0),1,0),0),IFERROR(IF(AND(VALUE(F29)&gt;=1,VALUE(F29)&lt;=6,MOD(VALUE(F29),1)=0),1,0),0),IFERROR(IF(AND(VALUE(G29)&gt;=1,VALUE(G29)&lt;=6,MOD(VALUE(G29),1)=0),1,0),0),IFERROR(IF(AND(VALUE(H29)&gt;=1,VALUE(H29)&lt;=6,MOD(VALUE(H29),1)=0),1,0),0),IFERROR(IF(AND(VALUE(I29)&gt;=1,VALUE(I29)&lt;=6,MOD(VALUE(I29),1)=0),1,0),0))</f>
        <v>0</v>
      </c>
      <c r="M29" s="6" t="str">
        <f>'参与者登记'!K10</f>
        <v>待回收</v>
      </c>
      <c r="N29" s="4" t="s">
        <v>72</v>
      </c>
      <c r="O29" s="4" t="s">
        <v>77</v>
      </c>
      <c r="P29" s="4" t="s">
        <v>79</v>
      </c>
      <c r="Q29" s="4" t="s">
        <v>87</v>
      </c>
      <c r="R29" s="4" t="s">
        <v>79</v>
      </c>
      <c r="S29" s="4" t="s">
        <v>87</v>
      </c>
      <c r="T29" s="6">
        <f>IF(M29&lt;&gt;"纳入","",IF(VALUE(D29)=6,"",IF(VALUE(D29)=3,0.5,IF(OR(AND(VALUE(D29)&lt;3,P29=R29),AND(VALUE(D29)&gt;3,Q29=R29)),1,0))))</f>
        <v/>
      </c>
      <c r="U29" s="6">
        <f>IF(AND(M29="纳入",IFERROR(VALUE(D29),0)=6),1,0)</f>
        <v>0</v>
      </c>
      <c r="V29" s="6">
        <f>IF(AND(M29="纳入",IFERROR(VALUE(D29),0)=3),1,0)</f>
        <v>0</v>
      </c>
      <c r="W29" s="6">
        <f>IF(AND(M29="纳入",ISNUMBER(T29),T29=1),1,0)</f>
        <v>0</v>
      </c>
      <c r="X29" s="6">
        <f>IF(AND(M29="纳入",ISNUMBER(T29),T29=0),1,0)</f>
        <v>0</v>
      </c>
      <c r="Y29" s="6">
        <f>IF(AND(M29="纳入",ISNUMBER(T29)),1,0)</f>
        <v>0</v>
      </c>
      <c r="Z29" s="6">
        <f>IF(M29&lt;&gt;"纳入","",IF(VALUE(E29)=6,"",IF(VALUE(E29)=3,0.5,IF(OR(AND(VALUE(E29)&lt;3,P29=R29),AND(VALUE(E29)&gt;3,Q29=R29)),1,0))))</f>
        <v/>
      </c>
      <c r="AA29" s="6">
        <f>IF(M29&lt;&gt;"纳入","",IF(VALUE(F29)=6,"",IF(VALUE(F29)=3,0.5,IF(OR(AND(VALUE(F29)&lt;3,P29=R29),AND(VALUE(F29)&gt;3,Q29=R29)),1,0))))</f>
        <v/>
      </c>
      <c r="AB29" s="6">
        <f>IF(M29&lt;&gt;"纳入","",IF(VALUE(G29)=6,"",IF(VALUE(G29)=3,0.5,IF(OR(AND(VALUE(G29)&lt;3,P29=R29),AND(VALUE(G29)&gt;3,Q29=R29)),1,0))))</f>
        <v/>
      </c>
      <c r="AC29" s="6">
        <f>IF(M29&lt;&gt;"纳入","",IF(VALUE(H29)=6,"",IF(VALUE(H29)=3,0.5,IF(OR(AND(VALUE(H29)&lt;3,P29=R29),AND(VALUE(H29)&gt;3,Q29=R29)),1,0))))</f>
        <v/>
      </c>
      <c r="AD29" s="6">
        <f>IF(M29&lt;&gt;"纳入","",IF(VALUE(I29)=6,"",IF(VALUE(I29)=3,0.5,IF(OR(AND(VALUE(I29)&lt;3,P29=R29),AND(VALUE(I29)&gt;3,Q29=R29)),1,0))))</f>
        <v/>
      </c>
    </row>
    <row r="30" spans="1:30" ht="28" customHeight="1">
      <c r="A30" s="4" t="s">
        <v>99</v>
      </c>
      <c r="B30" s="4">
        <v>6</v>
      </c>
      <c r="C30" s="4" t="s">
        <v>90</v>
      </c>
      <c r="D30" s="5"/>
      <c r="E30" s="5"/>
      <c r="F30" s="5"/>
      <c r="G30" s="5"/>
      <c r="H30" s="5"/>
      <c r="I30" s="5"/>
      <c r="J30" s="5"/>
      <c r="K30" s="5"/>
      <c r="L30" s="6">
        <f>SUM(IFERROR(IF(AND(VALUE(D30)&gt;=1,VALUE(D30)&lt;=6,MOD(VALUE(D30),1)=0),1,0),0),IFERROR(IF(AND(VALUE(E30)&gt;=1,VALUE(E30)&lt;=6,MOD(VALUE(E30),1)=0),1,0),0),IFERROR(IF(AND(VALUE(F30)&gt;=1,VALUE(F30)&lt;=6,MOD(VALUE(F30),1)=0),1,0),0),IFERROR(IF(AND(VALUE(G30)&gt;=1,VALUE(G30)&lt;=6,MOD(VALUE(G30),1)=0),1,0),0),IFERROR(IF(AND(VALUE(H30)&gt;=1,VALUE(H30)&lt;=6,MOD(VALUE(H30),1)=0),1,0),0),IFERROR(IF(AND(VALUE(I30)&gt;=1,VALUE(I30)&lt;=6,MOD(VALUE(I30),1)=0),1,0),0))</f>
        <v>0</v>
      </c>
      <c r="M30" s="6" t="str">
        <f>'参与者登记'!K10</f>
        <v>待回收</v>
      </c>
      <c r="N30" s="4" t="s">
        <v>81</v>
      </c>
      <c r="O30" s="4" t="s">
        <v>100</v>
      </c>
      <c r="P30" s="4" t="s">
        <v>84</v>
      </c>
      <c r="Q30" s="4" t="s">
        <v>83</v>
      </c>
      <c r="R30" s="4" t="s">
        <v>83</v>
      </c>
      <c r="S30" s="4" t="s">
        <v>84</v>
      </c>
      <c r="T30" s="6">
        <f>IF(M30&lt;&gt;"纳入","",IF(VALUE(D30)=6,"",IF(VALUE(D30)=3,0.5,IF(OR(AND(VALUE(D30)&lt;3,P30=R30),AND(VALUE(D30)&gt;3,Q30=R30)),1,0))))</f>
        <v/>
      </c>
      <c r="U30" s="6">
        <f>IF(AND(M30="纳入",IFERROR(VALUE(D30),0)=6),1,0)</f>
        <v>0</v>
      </c>
      <c r="V30" s="6">
        <f>IF(AND(M30="纳入",IFERROR(VALUE(D30),0)=3),1,0)</f>
        <v>0</v>
      </c>
      <c r="W30" s="6">
        <f>IF(AND(M30="纳入",ISNUMBER(T30),T30=1),1,0)</f>
        <v>0</v>
      </c>
      <c r="X30" s="6">
        <f>IF(AND(M30="纳入",ISNUMBER(T30),T30=0),1,0)</f>
        <v>0</v>
      </c>
      <c r="Y30" s="6">
        <f>IF(AND(M30="纳入",ISNUMBER(T30)),1,0)</f>
        <v>0</v>
      </c>
      <c r="Z30" s="6">
        <f>IF(M30&lt;&gt;"纳入","",IF(VALUE(E30)=6,"",IF(VALUE(E30)=3,0.5,IF(OR(AND(VALUE(E30)&lt;3,P30=R30),AND(VALUE(E30)&gt;3,Q30=R30)),1,0))))</f>
        <v/>
      </c>
      <c r="AA30" s="6">
        <f>IF(M30&lt;&gt;"纳入","",IF(VALUE(F30)=6,"",IF(VALUE(F30)=3,0.5,IF(OR(AND(VALUE(F30)&lt;3,P30=R30),AND(VALUE(F30)&gt;3,Q30=R30)),1,0))))</f>
        <v/>
      </c>
      <c r="AB30" s="6">
        <f>IF(M30&lt;&gt;"纳入","",IF(VALUE(G30)=6,"",IF(VALUE(G30)=3,0.5,IF(OR(AND(VALUE(G30)&lt;3,P30=R30),AND(VALUE(G30)&gt;3,Q30=R30)),1,0))))</f>
        <v/>
      </c>
      <c r="AC30" s="6">
        <f>IF(M30&lt;&gt;"纳入","",IF(VALUE(H30)=6,"",IF(VALUE(H30)=3,0.5,IF(OR(AND(VALUE(H30)&lt;3,P30=R30),AND(VALUE(H30)&gt;3,Q30=R30)),1,0))))</f>
        <v/>
      </c>
      <c r="AD30" s="6">
        <f>IF(M30&lt;&gt;"纳入","",IF(VALUE(I30)=6,"",IF(VALUE(I30)=3,0.5,IF(OR(AND(VALUE(I30)&lt;3,P30=R30),AND(VALUE(I30)&gt;3,Q30=R30)),1,0))))</f>
        <v/>
      </c>
    </row>
    <row r="31" spans="1:30" ht="28" customHeight="1">
      <c r="A31" s="4" t="s">
        <v>101</v>
      </c>
      <c r="B31" s="4">
        <v>1</v>
      </c>
      <c r="C31" s="4" t="s">
        <v>71</v>
      </c>
      <c r="D31" s="5"/>
      <c r="E31" s="5"/>
      <c r="F31" s="5"/>
      <c r="G31" s="5"/>
      <c r="H31" s="5"/>
      <c r="I31" s="5"/>
      <c r="J31" s="5"/>
      <c r="K31" s="5"/>
      <c r="L31" s="6">
        <f>SUM(IFERROR(IF(AND(VALUE(D31)&gt;=1,VALUE(D31)&lt;=6,MOD(VALUE(D31),1)=0),1,0),0),IFERROR(IF(AND(VALUE(E31)&gt;=1,VALUE(E31)&lt;=6,MOD(VALUE(E31),1)=0),1,0),0),IFERROR(IF(AND(VALUE(F31)&gt;=1,VALUE(F31)&lt;=6,MOD(VALUE(F31),1)=0),1,0),0),IFERROR(IF(AND(VALUE(G31)&gt;=1,VALUE(G31)&lt;=6,MOD(VALUE(G31),1)=0),1,0),0),IFERROR(IF(AND(VALUE(H31)&gt;=1,VALUE(H31)&lt;=6,MOD(VALUE(H31),1)=0),1,0),0),IFERROR(IF(AND(VALUE(I31)&gt;=1,VALUE(I31)&lt;=6,MOD(VALUE(I31),1)=0),1,0),0))</f>
        <v>0</v>
      </c>
      <c r="M31" s="6" t="str">
        <f>'参与者登记'!K11</f>
        <v>待回收</v>
      </c>
      <c r="N31" s="4" t="s">
        <v>72</v>
      </c>
      <c r="O31" s="4" t="s">
        <v>77</v>
      </c>
      <c r="P31" s="4" t="s">
        <v>87</v>
      </c>
      <c r="Q31" s="4" t="s">
        <v>94</v>
      </c>
      <c r="R31" s="4" t="s">
        <v>94</v>
      </c>
      <c r="S31" s="4" t="s">
        <v>87</v>
      </c>
      <c r="T31" s="6">
        <f>IF(M31&lt;&gt;"纳入","",IF(VALUE(D31)=6,"",IF(VALUE(D31)=3,0.5,IF(OR(AND(VALUE(D31)&lt;3,P31=R31),AND(VALUE(D31)&gt;3,Q31=R31)),1,0))))</f>
        <v/>
      </c>
      <c r="U31" s="6">
        <f>IF(AND(M31="纳入",IFERROR(VALUE(D31),0)=6),1,0)</f>
        <v>0</v>
      </c>
      <c r="V31" s="6">
        <f>IF(AND(M31="纳入",IFERROR(VALUE(D31),0)=3),1,0)</f>
        <v>0</v>
      </c>
      <c r="W31" s="6">
        <f>IF(AND(M31="纳入",ISNUMBER(T31),T31=1),1,0)</f>
        <v>0</v>
      </c>
      <c r="X31" s="6">
        <f>IF(AND(M31="纳入",ISNUMBER(T31),T31=0),1,0)</f>
        <v>0</v>
      </c>
      <c r="Y31" s="6">
        <f>IF(AND(M31="纳入",ISNUMBER(T31)),1,0)</f>
        <v>0</v>
      </c>
      <c r="Z31" s="6">
        <f>IF(M31&lt;&gt;"纳入","",IF(VALUE(E31)=6,"",IF(VALUE(E31)=3,0.5,IF(OR(AND(VALUE(E31)&lt;3,P31=R31),AND(VALUE(E31)&gt;3,Q31=R31)),1,0))))</f>
        <v/>
      </c>
      <c r="AA31" s="6">
        <f>IF(M31&lt;&gt;"纳入","",IF(VALUE(F31)=6,"",IF(VALUE(F31)=3,0.5,IF(OR(AND(VALUE(F31)&lt;3,P31=R31),AND(VALUE(F31)&gt;3,Q31=R31)),1,0))))</f>
        <v/>
      </c>
      <c r="AB31" s="6">
        <f>IF(M31&lt;&gt;"纳入","",IF(VALUE(G31)=6,"",IF(VALUE(G31)=3,0.5,IF(OR(AND(VALUE(G31)&lt;3,P31=R31),AND(VALUE(G31)&gt;3,Q31=R31)),1,0))))</f>
        <v/>
      </c>
      <c r="AC31" s="6">
        <f>IF(M31&lt;&gt;"纳入","",IF(VALUE(H31)=6,"",IF(VALUE(H31)=3,0.5,IF(OR(AND(VALUE(H31)&lt;3,P31=R31),AND(VALUE(H31)&gt;3,Q31=R31)),1,0))))</f>
        <v/>
      </c>
      <c r="AD31" s="6">
        <f>IF(M31&lt;&gt;"纳入","",IF(VALUE(I31)=6,"",IF(VALUE(I31)=3,0.5,IF(OR(AND(VALUE(I31)&lt;3,P31=R31),AND(VALUE(I31)&gt;3,Q31=R31)),1,0))))</f>
        <v/>
      </c>
    </row>
    <row r="32" spans="1:30" ht="28" customHeight="1">
      <c r="A32" s="4" t="s">
        <v>101</v>
      </c>
      <c r="B32" s="4">
        <v>2</v>
      </c>
      <c r="C32" s="4" t="s">
        <v>76</v>
      </c>
      <c r="D32" s="5"/>
      <c r="E32" s="5"/>
      <c r="F32" s="5"/>
      <c r="G32" s="5"/>
      <c r="H32" s="5"/>
      <c r="I32" s="5"/>
      <c r="J32" s="5"/>
      <c r="K32" s="5"/>
      <c r="L32" s="6">
        <f>SUM(IFERROR(IF(AND(VALUE(D32)&gt;=1,VALUE(D32)&lt;=6,MOD(VALUE(D32),1)=0),1,0),0),IFERROR(IF(AND(VALUE(E32)&gt;=1,VALUE(E32)&lt;=6,MOD(VALUE(E32),1)=0),1,0),0),IFERROR(IF(AND(VALUE(F32)&gt;=1,VALUE(F32)&lt;=6,MOD(VALUE(F32),1)=0),1,0),0),IFERROR(IF(AND(VALUE(G32)&gt;=1,VALUE(G32)&lt;=6,MOD(VALUE(G32),1)=0),1,0),0),IFERROR(IF(AND(VALUE(H32)&gt;=1,VALUE(H32)&lt;=6,MOD(VALUE(H32),1)=0),1,0),0),IFERROR(IF(AND(VALUE(I32)&gt;=1,VALUE(I32)&lt;=6,MOD(VALUE(I32),1)=0),1,0),0))</f>
        <v>0</v>
      </c>
      <c r="M32" s="6" t="str">
        <f>'参与者登记'!K11</f>
        <v>待回收</v>
      </c>
      <c r="N32" s="4" t="s">
        <v>81</v>
      </c>
      <c r="O32" s="4" t="s">
        <v>102</v>
      </c>
      <c r="P32" s="4" t="s">
        <v>84</v>
      </c>
      <c r="Q32" s="4" t="s">
        <v>83</v>
      </c>
      <c r="R32" s="4" t="s">
        <v>83</v>
      </c>
      <c r="S32" s="4" t="s">
        <v>84</v>
      </c>
      <c r="T32" s="6">
        <f>IF(M32&lt;&gt;"纳入","",IF(VALUE(D32)=6,"",IF(VALUE(D32)=3,0.5,IF(OR(AND(VALUE(D32)&lt;3,P32=R32),AND(VALUE(D32)&gt;3,Q32=R32)),1,0))))</f>
        <v/>
      </c>
      <c r="U32" s="6">
        <f>IF(AND(M32="纳入",IFERROR(VALUE(D32),0)=6),1,0)</f>
        <v>0</v>
      </c>
      <c r="V32" s="6">
        <f>IF(AND(M32="纳入",IFERROR(VALUE(D32),0)=3),1,0)</f>
        <v>0</v>
      </c>
      <c r="W32" s="6">
        <f>IF(AND(M32="纳入",ISNUMBER(T32),T32=1),1,0)</f>
        <v>0</v>
      </c>
      <c r="X32" s="6">
        <f>IF(AND(M32="纳入",ISNUMBER(T32),T32=0),1,0)</f>
        <v>0</v>
      </c>
      <c r="Y32" s="6">
        <f>IF(AND(M32="纳入",ISNUMBER(T32)),1,0)</f>
        <v>0</v>
      </c>
      <c r="Z32" s="6">
        <f>IF(M32&lt;&gt;"纳入","",IF(VALUE(E32)=6,"",IF(VALUE(E32)=3,0.5,IF(OR(AND(VALUE(E32)&lt;3,P32=R32),AND(VALUE(E32)&gt;3,Q32=R32)),1,0))))</f>
        <v/>
      </c>
      <c r="AA32" s="6">
        <f>IF(M32&lt;&gt;"纳入","",IF(VALUE(F32)=6,"",IF(VALUE(F32)=3,0.5,IF(OR(AND(VALUE(F32)&lt;3,P32=R32),AND(VALUE(F32)&gt;3,Q32=R32)),1,0))))</f>
        <v/>
      </c>
      <c r="AB32" s="6">
        <f>IF(M32&lt;&gt;"纳入","",IF(VALUE(G32)=6,"",IF(VALUE(G32)=3,0.5,IF(OR(AND(VALUE(G32)&lt;3,P32=R32),AND(VALUE(G32)&gt;3,Q32=R32)),1,0))))</f>
        <v/>
      </c>
      <c r="AC32" s="6">
        <f>IF(M32&lt;&gt;"纳入","",IF(VALUE(H32)=6,"",IF(VALUE(H32)=3,0.5,IF(OR(AND(VALUE(H32)&lt;3,P32=R32),AND(VALUE(H32)&gt;3,Q32=R32)),1,0))))</f>
        <v/>
      </c>
      <c r="AD32" s="6">
        <f>IF(M32&lt;&gt;"纳入","",IF(VALUE(I32)=6,"",IF(VALUE(I32)=3,0.5,IF(OR(AND(VALUE(I32)&lt;3,P32=R32),AND(VALUE(I32)&gt;3,Q32=R32)),1,0))))</f>
        <v/>
      </c>
    </row>
    <row r="33" spans="1:30" ht="28" customHeight="1">
      <c r="A33" s="4" t="s">
        <v>101</v>
      </c>
      <c r="B33" s="4">
        <v>3</v>
      </c>
      <c r="C33" s="4" t="s">
        <v>80</v>
      </c>
      <c r="D33" s="5"/>
      <c r="E33" s="5"/>
      <c r="F33" s="5"/>
      <c r="G33" s="5"/>
      <c r="H33" s="5"/>
      <c r="I33" s="5"/>
      <c r="J33" s="5"/>
      <c r="K33" s="5"/>
      <c r="L33" s="6">
        <f>SUM(IFERROR(IF(AND(VALUE(D33)&gt;=1,VALUE(D33)&lt;=6,MOD(VALUE(D33),1)=0),1,0),0),IFERROR(IF(AND(VALUE(E33)&gt;=1,VALUE(E33)&lt;=6,MOD(VALUE(E33),1)=0),1,0),0),IFERROR(IF(AND(VALUE(F33)&gt;=1,VALUE(F33)&lt;=6,MOD(VALUE(F33),1)=0),1,0),0),IFERROR(IF(AND(VALUE(G33)&gt;=1,VALUE(G33)&lt;=6,MOD(VALUE(G33),1)=0),1,0),0),IFERROR(IF(AND(VALUE(H33)&gt;=1,VALUE(H33)&lt;=6,MOD(VALUE(H33),1)=0),1,0),0),IFERROR(IF(AND(VALUE(I33)&gt;=1,VALUE(I33)&lt;=6,MOD(VALUE(I33),1)=0),1,0),0))</f>
        <v>0</v>
      </c>
      <c r="M33" s="6" t="str">
        <f>'参与者登记'!K11</f>
        <v>待回收</v>
      </c>
      <c r="N33" s="4" t="s">
        <v>72</v>
      </c>
      <c r="O33" s="4" t="s">
        <v>77</v>
      </c>
      <c r="P33" s="4" t="s">
        <v>89</v>
      </c>
      <c r="Q33" s="4" t="s">
        <v>78</v>
      </c>
      <c r="R33" s="4" t="s">
        <v>78</v>
      </c>
      <c r="S33" s="4" t="s">
        <v>89</v>
      </c>
      <c r="T33" s="6">
        <f>IF(M33&lt;&gt;"纳入","",IF(VALUE(D33)=6,"",IF(VALUE(D33)=3,0.5,IF(OR(AND(VALUE(D33)&lt;3,P33=R33),AND(VALUE(D33)&gt;3,Q33=R33)),1,0))))</f>
        <v/>
      </c>
      <c r="U33" s="6">
        <f>IF(AND(M33="纳入",IFERROR(VALUE(D33),0)=6),1,0)</f>
        <v>0</v>
      </c>
      <c r="V33" s="6">
        <f>IF(AND(M33="纳入",IFERROR(VALUE(D33),0)=3),1,0)</f>
        <v>0</v>
      </c>
      <c r="W33" s="6">
        <f>IF(AND(M33="纳入",ISNUMBER(T33),T33=1),1,0)</f>
        <v>0</v>
      </c>
      <c r="X33" s="6">
        <f>IF(AND(M33="纳入",ISNUMBER(T33),T33=0),1,0)</f>
        <v>0</v>
      </c>
      <c r="Y33" s="6">
        <f>IF(AND(M33="纳入",ISNUMBER(T33)),1,0)</f>
        <v>0</v>
      </c>
      <c r="Z33" s="6">
        <f>IF(M33&lt;&gt;"纳入","",IF(VALUE(E33)=6,"",IF(VALUE(E33)=3,0.5,IF(OR(AND(VALUE(E33)&lt;3,P33=R33),AND(VALUE(E33)&gt;3,Q33=R33)),1,0))))</f>
        <v/>
      </c>
      <c r="AA33" s="6">
        <f>IF(M33&lt;&gt;"纳入","",IF(VALUE(F33)=6,"",IF(VALUE(F33)=3,0.5,IF(OR(AND(VALUE(F33)&lt;3,P33=R33),AND(VALUE(F33)&gt;3,Q33=R33)),1,0))))</f>
        <v/>
      </c>
      <c r="AB33" s="6">
        <f>IF(M33&lt;&gt;"纳入","",IF(VALUE(G33)=6,"",IF(VALUE(G33)=3,0.5,IF(OR(AND(VALUE(G33)&lt;3,P33=R33),AND(VALUE(G33)&gt;3,Q33=R33)),1,0))))</f>
        <v/>
      </c>
      <c r="AC33" s="6">
        <f>IF(M33&lt;&gt;"纳入","",IF(VALUE(H33)=6,"",IF(VALUE(H33)=3,0.5,IF(OR(AND(VALUE(H33)&lt;3,P33=R33),AND(VALUE(H33)&gt;3,Q33=R33)),1,0))))</f>
        <v/>
      </c>
      <c r="AD33" s="6">
        <f>IF(M33&lt;&gt;"纳入","",IF(VALUE(I33)=6,"",IF(VALUE(I33)=3,0.5,IF(OR(AND(VALUE(I33)&lt;3,P33=R33),AND(VALUE(I33)&gt;3,Q33=R33)),1,0))))</f>
        <v/>
      </c>
    </row>
    <row r="34" spans="1:30" ht="28" customHeight="1">
      <c r="A34" s="4" t="s">
        <v>101</v>
      </c>
      <c r="B34" s="4">
        <v>4</v>
      </c>
      <c r="C34" s="4" t="s">
        <v>85</v>
      </c>
      <c r="D34" s="5"/>
      <c r="E34" s="5"/>
      <c r="F34" s="5"/>
      <c r="G34" s="5"/>
      <c r="H34" s="5"/>
      <c r="I34" s="5"/>
      <c r="J34" s="5"/>
      <c r="K34" s="5"/>
      <c r="L34" s="6">
        <f>SUM(IFERROR(IF(AND(VALUE(D34)&gt;=1,VALUE(D34)&lt;=6,MOD(VALUE(D34),1)=0),1,0),0),IFERROR(IF(AND(VALUE(E34)&gt;=1,VALUE(E34)&lt;=6,MOD(VALUE(E34),1)=0),1,0),0),IFERROR(IF(AND(VALUE(F34)&gt;=1,VALUE(F34)&lt;=6,MOD(VALUE(F34),1)=0),1,0),0),IFERROR(IF(AND(VALUE(G34)&gt;=1,VALUE(G34)&lt;=6,MOD(VALUE(G34),1)=0),1,0),0),IFERROR(IF(AND(VALUE(H34)&gt;=1,VALUE(H34)&lt;=6,MOD(VALUE(H34),1)=0),1,0),0),IFERROR(IF(AND(VALUE(I34)&gt;=1,VALUE(I34)&lt;=6,MOD(VALUE(I34),1)=0),1,0),0))</f>
        <v>0</v>
      </c>
      <c r="M34" s="6" t="str">
        <f>'参与者登记'!K11</f>
        <v>待回收</v>
      </c>
      <c r="N34" s="4" t="s">
        <v>72</v>
      </c>
      <c r="O34" s="4" t="s">
        <v>86</v>
      </c>
      <c r="P34" s="4" t="s">
        <v>78</v>
      </c>
      <c r="Q34" s="4" t="s">
        <v>79</v>
      </c>
      <c r="R34" s="4" t="s">
        <v>79</v>
      </c>
      <c r="S34" s="4" t="s">
        <v>78</v>
      </c>
      <c r="T34" s="6">
        <f>IF(M34&lt;&gt;"纳入","",IF(VALUE(D34)=6,"",IF(VALUE(D34)=3,0.5,IF(OR(AND(VALUE(D34)&lt;3,P34=R34),AND(VALUE(D34)&gt;3,Q34=R34)),1,0))))</f>
        <v/>
      </c>
      <c r="U34" s="6">
        <f>IF(AND(M34="纳入",IFERROR(VALUE(D34),0)=6),1,0)</f>
        <v>0</v>
      </c>
      <c r="V34" s="6">
        <f>IF(AND(M34="纳入",IFERROR(VALUE(D34),0)=3),1,0)</f>
        <v>0</v>
      </c>
      <c r="W34" s="6">
        <f>IF(AND(M34="纳入",ISNUMBER(T34),T34=1),1,0)</f>
        <v>0</v>
      </c>
      <c r="X34" s="6">
        <f>IF(AND(M34="纳入",ISNUMBER(T34),T34=0),1,0)</f>
        <v>0</v>
      </c>
      <c r="Y34" s="6">
        <f>IF(AND(M34="纳入",ISNUMBER(T34)),1,0)</f>
        <v>0</v>
      </c>
      <c r="Z34" s="6">
        <f>IF(M34&lt;&gt;"纳入","",IF(VALUE(E34)=6,"",IF(VALUE(E34)=3,0.5,IF(OR(AND(VALUE(E34)&lt;3,P34=R34),AND(VALUE(E34)&gt;3,Q34=R34)),1,0))))</f>
        <v/>
      </c>
      <c r="AA34" s="6">
        <f>IF(M34&lt;&gt;"纳入","",IF(VALUE(F34)=6,"",IF(VALUE(F34)=3,0.5,IF(OR(AND(VALUE(F34)&lt;3,P34=R34),AND(VALUE(F34)&gt;3,Q34=R34)),1,0))))</f>
        <v/>
      </c>
      <c r="AB34" s="6">
        <f>IF(M34&lt;&gt;"纳入","",IF(VALUE(G34)=6,"",IF(VALUE(G34)=3,0.5,IF(OR(AND(VALUE(G34)&lt;3,P34=R34),AND(VALUE(G34)&gt;3,Q34=R34)),1,0))))</f>
        <v/>
      </c>
      <c r="AC34" s="6">
        <f>IF(M34&lt;&gt;"纳入","",IF(VALUE(H34)=6,"",IF(VALUE(H34)=3,0.5,IF(OR(AND(VALUE(H34)&lt;3,P34=R34),AND(VALUE(H34)&gt;3,Q34=R34)),1,0))))</f>
        <v/>
      </c>
      <c r="AD34" s="6">
        <f>IF(M34&lt;&gt;"纳入","",IF(VALUE(I34)=6,"",IF(VALUE(I34)=3,0.5,IF(OR(AND(VALUE(I34)&lt;3,P34=R34),AND(VALUE(I34)&gt;3,Q34=R34)),1,0))))</f>
        <v/>
      </c>
    </row>
    <row r="35" spans="1:30" ht="28" customHeight="1">
      <c r="A35" s="4" t="s">
        <v>101</v>
      </c>
      <c r="B35" s="4">
        <v>5</v>
      </c>
      <c r="C35" s="4" t="s">
        <v>88</v>
      </c>
      <c r="D35" s="5"/>
      <c r="E35" s="5"/>
      <c r="F35" s="5"/>
      <c r="G35" s="5"/>
      <c r="H35" s="5"/>
      <c r="I35" s="5"/>
      <c r="J35" s="5"/>
      <c r="K35" s="5"/>
      <c r="L35" s="6">
        <f>SUM(IFERROR(IF(AND(VALUE(D35)&gt;=1,VALUE(D35)&lt;=6,MOD(VALUE(D35),1)=0),1,0),0),IFERROR(IF(AND(VALUE(E35)&gt;=1,VALUE(E35)&lt;=6,MOD(VALUE(E35),1)=0),1,0),0),IFERROR(IF(AND(VALUE(F35)&gt;=1,VALUE(F35)&lt;=6,MOD(VALUE(F35),1)=0),1,0),0),IFERROR(IF(AND(VALUE(G35)&gt;=1,VALUE(G35)&lt;=6,MOD(VALUE(G35),1)=0),1,0),0),IFERROR(IF(AND(VALUE(H35)&gt;=1,VALUE(H35)&lt;=6,MOD(VALUE(H35),1)=0),1,0),0),IFERROR(IF(AND(VALUE(I35)&gt;=1,VALUE(I35)&lt;=6,MOD(VALUE(I35),1)=0),1,0),0))</f>
        <v>0</v>
      </c>
      <c r="M35" s="6" t="str">
        <f>'参与者登记'!K11</f>
        <v>待回收</v>
      </c>
      <c r="N35" s="4" t="s">
        <v>81</v>
      </c>
      <c r="O35" s="4" t="s">
        <v>98</v>
      </c>
      <c r="P35" s="4" t="s">
        <v>83</v>
      </c>
      <c r="Q35" s="4" t="s">
        <v>84</v>
      </c>
      <c r="R35" s="4" t="s">
        <v>83</v>
      </c>
      <c r="S35" s="4" t="s">
        <v>84</v>
      </c>
      <c r="T35" s="6">
        <f>IF(M35&lt;&gt;"纳入","",IF(VALUE(D35)=6,"",IF(VALUE(D35)=3,0.5,IF(OR(AND(VALUE(D35)&lt;3,P35=R35),AND(VALUE(D35)&gt;3,Q35=R35)),1,0))))</f>
        <v/>
      </c>
      <c r="U35" s="6">
        <f>IF(AND(M35="纳入",IFERROR(VALUE(D35),0)=6),1,0)</f>
        <v>0</v>
      </c>
      <c r="V35" s="6">
        <f>IF(AND(M35="纳入",IFERROR(VALUE(D35),0)=3),1,0)</f>
        <v>0</v>
      </c>
      <c r="W35" s="6">
        <f>IF(AND(M35="纳入",ISNUMBER(T35),T35=1),1,0)</f>
        <v>0</v>
      </c>
      <c r="X35" s="6">
        <f>IF(AND(M35="纳入",ISNUMBER(T35),T35=0),1,0)</f>
        <v>0</v>
      </c>
      <c r="Y35" s="6">
        <f>IF(AND(M35="纳入",ISNUMBER(T35)),1,0)</f>
        <v>0</v>
      </c>
      <c r="Z35" s="6">
        <f>IF(M35&lt;&gt;"纳入","",IF(VALUE(E35)=6,"",IF(VALUE(E35)=3,0.5,IF(OR(AND(VALUE(E35)&lt;3,P35=R35),AND(VALUE(E35)&gt;3,Q35=R35)),1,0))))</f>
        <v/>
      </c>
      <c r="AA35" s="6">
        <f>IF(M35&lt;&gt;"纳入","",IF(VALUE(F35)=6,"",IF(VALUE(F35)=3,0.5,IF(OR(AND(VALUE(F35)&lt;3,P35=R35),AND(VALUE(F35)&gt;3,Q35=R35)),1,0))))</f>
        <v/>
      </c>
      <c r="AB35" s="6">
        <f>IF(M35&lt;&gt;"纳入","",IF(VALUE(G35)=6,"",IF(VALUE(G35)=3,0.5,IF(OR(AND(VALUE(G35)&lt;3,P35=R35),AND(VALUE(G35)&gt;3,Q35=R35)),1,0))))</f>
        <v/>
      </c>
      <c r="AC35" s="6">
        <f>IF(M35&lt;&gt;"纳入","",IF(VALUE(H35)=6,"",IF(VALUE(H35)=3,0.5,IF(OR(AND(VALUE(H35)&lt;3,P35=R35),AND(VALUE(H35)&gt;3,Q35=R35)),1,0))))</f>
        <v/>
      </c>
      <c r="AD35" s="6">
        <f>IF(M35&lt;&gt;"纳入","",IF(VALUE(I35)=6,"",IF(VALUE(I35)=3,0.5,IF(OR(AND(VALUE(I35)&lt;3,P35=R35),AND(VALUE(I35)&gt;3,Q35=R35)),1,0))))</f>
        <v/>
      </c>
    </row>
    <row r="36" spans="1:30" ht="28" customHeight="1">
      <c r="A36" s="4" t="s">
        <v>101</v>
      </c>
      <c r="B36" s="4">
        <v>6</v>
      </c>
      <c r="C36" s="4" t="s">
        <v>90</v>
      </c>
      <c r="D36" s="5"/>
      <c r="E36" s="5"/>
      <c r="F36" s="5"/>
      <c r="G36" s="5"/>
      <c r="H36" s="5"/>
      <c r="I36" s="5"/>
      <c r="J36" s="5"/>
      <c r="K36" s="5"/>
      <c r="L36" s="6">
        <f>SUM(IFERROR(IF(AND(VALUE(D36)&gt;=1,VALUE(D36)&lt;=6,MOD(VALUE(D36),1)=0),1,0),0),IFERROR(IF(AND(VALUE(E36)&gt;=1,VALUE(E36)&lt;=6,MOD(VALUE(E36),1)=0),1,0),0),IFERROR(IF(AND(VALUE(F36)&gt;=1,VALUE(F36)&lt;=6,MOD(VALUE(F36),1)=0),1,0),0),IFERROR(IF(AND(VALUE(G36)&gt;=1,VALUE(G36)&lt;=6,MOD(VALUE(G36),1)=0),1,0),0),IFERROR(IF(AND(VALUE(H36)&gt;=1,VALUE(H36)&lt;=6,MOD(VALUE(H36),1)=0),1,0),0),IFERROR(IF(AND(VALUE(I36)&gt;=1,VALUE(I36)&lt;=6,MOD(VALUE(I36),1)=0),1,0),0))</f>
        <v>0</v>
      </c>
      <c r="M36" s="6" t="str">
        <f>'参与者登记'!K11</f>
        <v>待回收</v>
      </c>
      <c r="N36" s="4" t="s">
        <v>72</v>
      </c>
      <c r="O36" s="4" t="s">
        <v>73</v>
      </c>
      <c r="P36" s="4" t="s">
        <v>87</v>
      </c>
      <c r="Q36" s="4" t="s">
        <v>75</v>
      </c>
      <c r="R36" s="4" t="s">
        <v>75</v>
      </c>
      <c r="S36" s="4" t="s">
        <v>87</v>
      </c>
      <c r="T36" s="6">
        <f>IF(M36&lt;&gt;"纳入","",IF(VALUE(D36)=6,"",IF(VALUE(D36)=3,0.5,IF(OR(AND(VALUE(D36)&lt;3,P36=R36),AND(VALUE(D36)&gt;3,Q36=R36)),1,0))))</f>
        <v/>
      </c>
      <c r="U36" s="6">
        <f>IF(AND(M36="纳入",IFERROR(VALUE(D36),0)=6),1,0)</f>
        <v>0</v>
      </c>
      <c r="V36" s="6">
        <f>IF(AND(M36="纳入",IFERROR(VALUE(D36),0)=3),1,0)</f>
        <v>0</v>
      </c>
      <c r="W36" s="6">
        <f>IF(AND(M36="纳入",ISNUMBER(T36),T36=1),1,0)</f>
        <v>0</v>
      </c>
      <c r="X36" s="6">
        <f>IF(AND(M36="纳入",ISNUMBER(T36),T36=0),1,0)</f>
        <v>0</v>
      </c>
      <c r="Y36" s="6">
        <f>IF(AND(M36="纳入",ISNUMBER(T36)),1,0)</f>
        <v>0</v>
      </c>
      <c r="Z36" s="6">
        <f>IF(M36&lt;&gt;"纳入","",IF(VALUE(E36)=6,"",IF(VALUE(E36)=3,0.5,IF(OR(AND(VALUE(E36)&lt;3,P36=R36),AND(VALUE(E36)&gt;3,Q36=R36)),1,0))))</f>
        <v/>
      </c>
      <c r="AA36" s="6">
        <f>IF(M36&lt;&gt;"纳入","",IF(VALUE(F36)=6,"",IF(VALUE(F36)=3,0.5,IF(OR(AND(VALUE(F36)&lt;3,P36=R36),AND(VALUE(F36)&gt;3,Q36=R36)),1,0))))</f>
        <v/>
      </c>
      <c r="AB36" s="6">
        <f>IF(M36&lt;&gt;"纳入","",IF(VALUE(G36)=6,"",IF(VALUE(G36)=3,0.5,IF(OR(AND(VALUE(G36)&lt;3,P36=R36),AND(VALUE(G36)&gt;3,Q36=R36)),1,0))))</f>
        <v/>
      </c>
      <c r="AC36" s="6">
        <f>IF(M36&lt;&gt;"纳入","",IF(VALUE(H36)=6,"",IF(VALUE(H36)=3,0.5,IF(OR(AND(VALUE(H36)&lt;3,P36=R36),AND(VALUE(H36)&gt;3,Q36=R36)),1,0))))</f>
        <v/>
      </c>
      <c r="AD36" s="6">
        <f>IF(M36&lt;&gt;"纳入","",IF(VALUE(I36)=6,"",IF(VALUE(I36)=3,0.5,IF(OR(AND(VALUE(I36)&lt;3,P36=R36),AND(VALUE(I36)&gt;3,Q36=R36)),1,0))))</f>
        <v/>
      </c>
    </row>
    <row r="37" spans="1:30" ht="28" customHeight="1">
      <c r="A37" s="4" t="s">
        <v>103</v>
      </c>
      <c r="B37" s="4">
        <v>1</v>
      </c>
      <c r="C37" s="4" t="s">
        <v>71</v>
      </c>
      <c r="D37" s="5"/>
      <c r="E37" s="5"/>
      <c r="F37" s="5"/>
      <c r="G37" s="5"/>
      <c r="H37" s="5"/>
      <c r="I37" s="5"/>
      <c r="J37" s="5"/>
      <c r="K37" s="5"/>
      <c r="L37" s="6">
        <f>SUM(IFERROR(IF(AND(VALUE(D37)&gt;=1,VALUE(D37)&lt;=6,MOD(VALUE(D37),1)=0),1,0),0),IFERROR(IF(AND(VALUE(E37)&gt;=1,VALUE(E37)&lt;=6,MOD(VALUE(E37),1)=0),1,0),0),IFERROR(IF(AND(VALUE(F37)&gt;=1,VALUE(F37)&lt;=6,MOD(VALUE(F37),1)=0),1,0),0),IFERROR(IF(AND(VALUE(G37)&gt;=1,VALUE(G37)&lt;=6,MOD(VALUE(G37),1)=0),1,0),0),IFERROR(IF(AND(VALUE(H37)&gt;=1,VALUE(H37)&lt;=6,MOD(VALUE(H37),1)=0),1,0),0),IFERROR(IF(AND(VALUE(I37)&gt;=1,VALUE(I37)&lt;=6,MOD(VALUE(I37),1)=0),1,0),0))</f>
        <v>0</v>
      </c>
      <c r="M37" s="6" t="str">
        <f>'参与者登记'!K12</f>
        <v>待回收</v>
      </c>
      <c r="N37" s="4" t="s">
        <v>81</v>
      </c>
      <c r="O37" s="4" t="s">
        <v>98</v>
      </c>
      <c r="P37" s="4" t="s">
        <v>84</v>
      </c>
      <c r="Q37" s="4" t="s">
        <v>83</v>
      </c>
      <c r="R37" s="4" t="s">
        <v>83</v>
      </c>
      <c r="S37" s="4" t="s">
        <v>84</v>
      </c>
      <c r="T37" s="6">
        <f>IF(M37&lt;&gt;"纳入","",IF(VALUE(D37)=6,"",IF(VALUE(D37)=3,0.5,IF(OR(AND(VALUE(D37)&lt;3,P37=R37),AND(VALUE(D37)&gt;3,Q37=R37)),1,0))))</f>
        <v/>
      </c>
      <c r="U37" s="6">
        <f>IF(AND(M37="纳入",IFERROR(VALUE(D37),0)=6),1,0)</f>
        <v>0</v>
      </c>
      <c r="V37" s="6">
        <f>IF(AND(M37="纳入",IFERROR(VALUE(D37),0)=3),1,0)</f>
        <v>0</v>
      </c>
      <c r="W37" s="6">
        <f>IF(AND(M37="纳入",ISNUMBER(T37),T37=1),1,0)</f>
        <v>0</v>
      </c>
      <c r="X37" s="6">
        <f>IF(AND(M37="纳入",ISNUMBER(T37),T37=0),1,0)</f>
        <v>0</v>
      </c>
      <c r="Y37" s="6">
        <f>IF(AND(M37="纳入",ISNUMBER(T37)),1,0)</f>
        <v>0</v>
      </c>
      <c r="Z37" s="6">
        <f>IF(M37&lt;&gt;"纳入","",IF(VALUE(E37)=6,"",IF(VALUE(E37)=3,0.5,IF(OR(AND(VALUE(E37)&lt;3,P37=R37),AND(VALUE(E37)&gt;3,Q37=R37)),1,0))))</f>
        <v/>
      </c>
      <c r="AA37" s="6">
        <f>IF(M37&lt;&gt;"纳入","",IF(VALUE(F37)=6,"",IF(VALUE(F37)=3,0.5,IF(OR(AND(VALUE(F37)&lt;3,P37=R37),AND(VALUE(F37)&gt;3,Q37=R37)),1,0))))</f>
        <v/>
      </c>
      <c r="AB37" s="6">
        <f>IF(M37&lt;&gt;"纳入","",IF(VALUE(G37)=6,"",IF(VALUE(G37)=3,0.5,IF(OR(AND(VALUE(G37)&lt;3,P37=R37),AND(VALUE(G37)&gt;3,Q37=R37)),1,0))))</f>
        <v/>
      </c>
      <c r="AC37" s="6">
        <f>IF(M37&lt;&gt;"纳入","",IF(VALUE(H37)=6,"",IF(VALUE(H37)=3,0.5,IF(OR(AND(VALUE(H37)&lt;3,P37=R37),AND(VALUE(H37)&gt;3,Q37=R37)),1,0))))</f>
        <v/>
      </c>
      <c r="AD37" s="6">
        <f>IF(M37&lt;&gt;"纳入","",IF(VALUE(I37)=6,"",IF(VALUE(I37)=3,0.5,IF(OR(AND(VALUE(I37)&lt;3,P37=R37),AND(VALUE(I37)&gt;3,Q37=R37)),1,0))))</f>
        <v/>
      </c>
    </row>
    <row r="38" spans="1:30" ht="28" customHeight="1">
      <c r="A38" s="4" t="s">
        <v>103</v>
      </c>
      <c r="B38" s="4">
        <v>2</v>
      </c>
      <c r="C38" s="4" t="s">
        <v>76</v>
      </c>
      <c r="D38" s="5"/>
      <c r="E38" s="5"/>
      <c r="F38" s="5"/>
      <c r="G38" s="5"/>
      <c r="H38" s="5"/>
      <c r="I38" s="5"/>
      <c r="J38" s="5"/>
      <c r="K38" s="5"/>
      <c r="L38" s="6">
        <f>SUM(IFERROR(IF(AND(VALUE(D38)&gt;=1,VALUE(D38)&lt;=6,MOD(VALUE(D38),1)=0),1,0),0),IFERROR(IF(AND(VALUE(E38)&gt;=1,VALUE(E38)&lt;=6,MOD(VALUE(E38),1)=0),1,0),0),IFERROR(IF(AND(VALUE(F38)&gt;=1,VALUE(F38)&lt;=6,MOD(VALUE(F38),1)=0),1,0),0),IFERROR(IF(AND(VALUE(G38)&gt;=1,VALUE(G38)&lt;=6,MOD(VALUE(G38),1)=0),1,0),0),IFERROR(IF(AND(VALUE(H38)&gt;=1,VALUE(H38)&lt;=6,MOD(VALUE(H38),1)=0),1,0),0),IFERROR(IF(AND(VALUE(I38)&gt;=1,VALUE(I38)&lt;=6,MOD(VALUE(I38),1)=0),1,0),0))</f>
        <v>0</v>
      </c>
      <c r="M38" s="6" t="str">
        <f>'参与者登记'!K12</f>
        <v>待回收</v>
      </c>
      <c r="N38" s="4" t="s">
        <v>72</v>
      </c>
      <c r="O38" s="4" t="s">
        <v>77</v>
      </c>
      <c r="P38" s="4" t="s">
        <v>79</v>
      </c>
      <c r="Q38" s="4" t="s">
        <v>94</v>
      </c>
      <c r="R38" s="4" t="s">
        <v>79</v>
      </c>
      <c r="S38" s="4" t="s">
        <v>94</v>
      </c>
      <c r="T38" s="6">
        <f>IF(M38&lt;&gt;"纳入","",IF(VALUE(D38)=6,"",IF(VALUE(D38)=3,0.5,IF(OR(AND(VALUE(D38)&lt;3,P38=R38),AND(VALUE(D38)&gt;3,Q38=R38)),1,0))))</f>
        <v/>
      </c>
      <c r="U38" s="6">
        <f>IF(AND(M38="纳入",IFERROR(VALUE(D38),0)=6),1,0)</f>
        <v>0</v>
      </c>
      <c r="V38" s="6">
        <f>IF(AND(M38="纳入",IFERROR(VALUE(D38),0)=3),1,0)</f>
        <v>0</v>
      </c>
      <c r="W38" s="6">
        <f>IF(AND(M38="纳入",ISNUMBER(T38),T38=1),1,0)</f>
        <v>0</v>
      </c>
      <c r="X38" s="6">
        <f>IF(AND(M38="纳入",ISNUMBER(T38),T38=0),1,0)</f>
        <v>0</v>
      </c>
      <c r="Y38" s="6">
        <f>IF(AND(M38="纳入",ISNUMBER(T38)),1,0)</f>
        <v>0</v>
      </c>
      <c r="Z38" s="6">
        <f>IF(M38&lt;&gt;"纳入","",IF(VALUE(E38)=6,"",IF(VALUE(E38)=3,0.5,IF(OR(AND(VALUE(E38)&lt;3,P38=R38),AND(VALUE(E38)&gt;3,Q38=R38)),1,0))))</f>
        <v/>
      </c>
      <c r="AA38" s="6">
        <f>IF(M38&lt;&gt;"纳入","",IF(VALUE(F38)=6,"",IF(VALUE(F38)=3,0.5,IF(OR(AND(VALUE(F38)&lt;3,P38=R38),AND(VALUE(F38)&gt;3,Q38=R38)),1,0))))</f>
        <v/>
      </c>
      <c r="AB38" s="6">
        <f>IF(M38&lt;&gt;"纳入","",IF(VALUE(G38)=6,"",IF(VALUE(G38)=3,0.5,IF(OR(AND(VALUE(G38)&lt;3,P38=R38),AND(VALUE(G38)&gt;3,Q38=R38)),1,0))))</f>
        <v/>
      </c>
      <c r="AC38" s="6">
        <f>IF(M38&lt;&gt;"纳入","",IF(VALUE(H38)=6,"",IF(VALUE(H38)=3,0.5,IF(OR(AND(VALUE(H38)&lt;3,P38=R38),AND(VALUE(H38)&gt;3,Q38=R38)),1,0))))</f>
        <v/>
      </c>
      <c r="AD38" s="6">
        <f>IF(M38&lt;&gt;"纳入","",IF(VALUE(I38)=6,"",IF(VALUE(I38)=3,0.5,IF(OR(AND(VALUE(I38)&lt;3,P38=R38),AND(VALUE(I38)&gt;3,Q38=R38)),1,0))))</f>
        <v/>
      </c>
    </row>
    <row r="39" spans="1:30" ht="28" customHeight="1">
      <c r="A39" s="4" t="s">
        <v>103</v>
      </c>
      <c r="B39" s="4">
        <v>3</v>
      </c>
      <c r="C39" s="4" t="s">
        <v>80</v>
      </c>
      <c r="D39" s="5"/>
      <c r="E39" s="5"/>
      <c r="F39" s="5"/>
      <c r="G39" s="5"/>
      <c r="H39" s="5"/>
      <c r="I39" s="5"/>
      <c r="J39" s="5"/>
      <c r="K39" s="5"/>
      <c r="L39" s="6">
        <f>SUM(IFERROR(IF(AND(VALUE(D39)&gt;=1,VALUE(D39)&lt;=6,MOD(VALUE(D39),1)=0),1,0),0),IFERROR(IF(AND(VALUE(E39)&gt;=1,VALUE(E39)&lt;=6,MOD(VALUE(E39),1)=0),1,0),0),IFERROR(IF(AND(VALUE(F39)&gt;=1,VALUE(F39)&lt;=6,MOD(VALUE(F39),1)=0),1,0),0),IFERROR(IF(AND(VALUE(G39)&gt;=1,VALUE(G39)&lt;=6,MOD(VALUE(G39),1)=0),1,0),0),IFERROR(IF(AND(VALUE(H39)&gt;=1,VALUE(H39)&lt;=6,MOD(VALUE(H39),1)=0),1,0),0),IFERROR(IF(AND(VALUE(I39)&gt;=1,VALUE(I39)&lt;=6,MOD(VALUE(I39),1)=0),1,0),0))</f>
        <v>0</v>
      </c>
      <c r="M39" s="6" t="str">
        <f>'参与者登记'!K12</f>
        <v>待回收</v>
      </c>
      <c r="N39" s="4" t="s">
        <v>72</v>
      </c>
      <c r="O39" s="4" t="s">
        <v>73</v>
      </c>
      <c r="P39" s="4" t="s">
        <v>74</v>
      </c>
      <c r="Q39" s="4" t="s">
        <v>78</v>
      </c>
      <c r="R39" s="4" t="s">
        <v>74</v>
      </c>
      <c r="S39" s="4" t="s">
        <v>78</v>
      </c>
      <c r="T39" s="6">
        <f>IF(M39&lt;&gt;"纳入","",IF(VALUE(D39)=6,"",IF(VALUE(D39)=3,0.5,IF(OR(AND(VALUE(D39)&lt;3,P39=R39),AND(VALUE(D39)&gt;3,Q39=R39)),1,0))))</f>
        <v/>
      </c>
      <c r="U39" s="6">
        <f>IF(AND(M39="纳入",IFERROR(VALUE(D39),0)=6),1,0)</f>
        <v>0</v>
      </c>
      <c r="V39" s="6">
        <f>IF(AND(M39="纳入",IFERROR(VALUE(D39),0)=3),1,0)</f>
        <v>0</v>
      </c>
      <c r="W39" s="6">
        <f>IF(AND(M39="纳入",ISNUMBER(T39),T39=1),1,0)</f>
        <v>0</v>
      </c>
      <c r="X39" s="6">
        <f>IF(AND(M39="纳入",ISNUMBER(T39),T39=0),1,0)</f>
        <v>0</v>
      </c>
      <c r="Y39" s="6">
        <f>IF(AND(M39="纳入",ISNUMBER(T39)),1,0)</f>
        <v>0</v>
      </c>
      <c r="Z39" s="6">
        <f>IF(M39&lt;&gt;"纳入","",IF(VALUE(E39)=6,"",IF(VALUE(E39)=3,0.5,IF(OR(AND(VALUE(E39)&lt;3,P39=R39),AND(VALUE(E39)&gt;3,Q39=R39)),1,0))))</f>
        <v/>
      </c>
      <c r="AA39" s="6">
        <f>IF(M39&lt;&gt;"纳入","",IF(VALUE(F39)=6,"",IF(VALUE(F39)=3,0.5,IF(OR(AND(VALUE(F39)&lt;3,P39=R39),AND(VALUE(F39)&gt;3,Q39=R39)),1,0))))</f>
        <v/>
      </c>
      <c r="AB39" s="6">
        <f>IF(M39&lt;&gt;"纳入","",IF(VALUE(G39)=6,"",IF(VALUE(G39)=3,0.5,IF(OR(AND(VALUE(G39)&lt;3,P39=R39),AND(VALUE(G39)&gt;3,Q39=R39)),1,0))))</f>
        <v/>
      </c>
      <c r="AC39" s="6">
        <f>IF(M39&lt;&gt;"纳入","",IF(VALUE(H39)=6,"",IF(VALUE(H39)=3,0.5,IF(OR(AND(VALUE(H39)&lt;3,P39=R39),AND(VALUE(H39)&gt;3,Q39=R39)),1,0))))</f>
        <v/>
      </c>
      <c r="AD39" s="6">
        <f>IF(M39&lt;&gt;"纳入","",IF(VALUE(I39)=6,"",IF(VALUE(I39)=3,0.5,IF(OR(AND(VALUE(I39)&lt;3,P39=R39),AND(VALUE(I39)&gt;3,Q39=R39)),1,0))))</f>
        <v/>
      </c>
    </row>
    <row r="40" spans="1:30" ht="28" customHeight="1">
      <c r="A40" s="4" t="s">
        <v>103</v>
      </c>
      <c r="B40" s="4">
        <v>4</v>
      </c>
      <c r="C40" s="4" t="s">
        <v>85</v>
      </c>
      <c r="D40" s="5"/>
      <c r="E40" s="5"/>
      <c r="F40" s="5"/>
      <c r="G40" s="5"/>
      <c r="H40" s="5"/>
      <c r="I40" s="5"/>
      <c r="J40" s="5"/>
      <c r="K40" s="5"/>
      <c r="L40" s="6">
        <f>SUM(IFERROR(IF(AND(VALUE(D40)&gt;=1,VALUE(D40)&lt;=6,MOD(VALUE(D40),1)=0),1,0),0),IFERROR(IF(AND(VALUE(E40)&gt;=1,VALUE(E40)&lt;=6,MOD(VALUE(E40),1)=0),1,0),0),IFERROR(IF(AND(VALUE(F40)&gt;=1,VALUE(F40)&lt;=6,MOD(VALUE(F40),1)=0),1,0),0),IFERROR(IF(AND(VALUE(G40)&gt;=1,VALUE(G40)&lt;=6,MOD(VALUE(G40),1)=0),1,0),0),IFERROR(IF(AND(VALUE(H40)&gt;=1,VALUE(H40)&lt;=6,MOD(VALUE(H40),1)=0),1,0),0),IFERROR(IF(AND(VALUE(I40)&gt;=1,VALUE(I40)&lt;=6,MOD(VALUE(I40),1)=0),1,0),0))</f>
        <v>0</v>
      </c>
      <c r="M40" s="6" t="str">
        <f>'参与者登记'!K12</f>
        <v>待回收</v>
      </c>
      <c r="N40" s="4" t="s">
        <v>81</v>
      </c>
      <c r="O40" s="4" t="s">
        <v>104</v>
      </c>
      <c r="P40" s="4" t="s">
        <v>83</v>
      </c>
      <c r="Q40" s="4" t="s">
        <v>84</v>
      </c>
      <c r="R40" s="4" t="s">
        <v>83</v>
      </c>
      <c r="S40" s="4" t="s">
        <v>84</v>
      </c>
      <c r="T40" s="6">
        <f>IF(M40&lt;&gt;"纳入","",IF(VALUE(D40)=6,"",IF(VALUE(D40)=3,0.5,IF(OR(AND(VALUE(D40)&lt;3,P40=R40),AND(VALUE(D40)&gt;3,Q40=R40)),1,0))))</f>
        <v/>
      </c>
      <c r="U40" s="6">
        <f>IF(AND(M40="纳入",IFERROR(VALUE(D40),0)=6),1,0)</f>
        <v>0</v>
      </c>
      <c r="V40" s="6">
        <f>IF(AND(M40="纳入",IFERROR(VALUE(D40),0)=3),1,0)</f>
        <v>0</v>
      </c>
      <c r="W40" s="6">
        <f>IF(AND(M40="纳入",ISNUMBER(T40),T40=1),1,0)</f>
        <v>0</v>
      </c>
      <c r="X40" s="6">
        <f>IF(AND(M40="纳入",ISNUMBER(T40),T40=0),1,0)</f>
        <v>0</v>
      </c>
      <c r="Y40" s="6">
        <f>IF(AND(M40="纳入",ISNUMBER(T40)),1,0)</f>
        <v>0</v>
      </c>
      <c r="Z40" s="6">
        <f>IF(M40&lt;&gt;"纳入","",IF(VALUE(E40)=6,"",IF(VALUE(E40)=3,0.5,IF(OR(AND(VALUE(E40)&lt;3,P40=R40),AND(VALUE(E40)&gt;3,Q40=R40)),1,0))))</f>
        <v/>
      </c>
      <c r="AA40" s="6">
        <f>IF(M40&lt;&gt;"纳入","",IF(VALUE(F40)=6,"",IF(VALUE(F40)=3,0.5,IF(OR(AND(VALUE(F40)&lt;3,P40=R40),AND(VALUE(F40)&gt;3,Q40=R40)),1,0))))</f>
        <v/>
      </c>
      <c r="AB40" s="6">
        <f>IF(M40&lt;&gt;"纳入","",IF(VALUE(G40)=6,"",IF(VALUE(G40)=3,0.5,IF(OR(AND(VALUE(G40)&lt;3,P40=R40),AND(VALUE(G40)&gt;3,Q40=R40)),1,0))))</f>
        <v/>
      </c>
      <c r="AC40" s="6">
        <f>IF(M40&lt;&gt;"纳入","",IF(VALUE(H40)=6,"",IF(VALUE(H40)=3,0.5,IF(OR(AND(VALUE(H40)&lt;3,P40=R40),AND(VALUE(H40)&gt;3,Q40=R40)),1,0))))</f>
        <v/>
      </c>
      <c r="AD40" s="6">
        <f>IF(M40&lt;&gt;"纳入","",IF(VALUE(I40)=6,"",IF(VALUE(I40)=3,0.5,IF(OR(AND(VALUE(I40)&lt;3,P40=R40),AND(VALUE(I40)&gt;3,Q40=R40)),1,0))))</f>
        <v/>
      </c>
    </row>
    <row r="41" spans="1:30" ht="28" customHeight="1">
      <c r="A41" s="4" t="s">
        <v>103</v>
      </c>
      <c r="B41" s="4">
        <v>5</v>
      </c>
      <c r="C41" s="4" t="s">
        <v>88</v>
      </c>
      <c r="D41" s="5"/>
      <c r="E41" s="5"/>
      <c r="F41" s="5"/>
      <c r="G41" s="5"/>
      <c r="H41" s="5"/>
      <c r="I41" s="5"/>
      <c r="J41" s="5"/>
      <c r="K41" s="5"/>
      <c r="L41" s="6">
        <f>SUM(IFERROR(IF(AND(VALUE(D41)&gt;=1,VALUE(D41)&lt;=6,MOD(VALUE(D41),1)=0),1,0),0),IFERROR(IF(AND(VALUE(E41)&gt;=1,VALUE(E41)&lt;=6,MOD(VALUE(E41),1)=0),1,0),0),IFERROR(IF(AND(VALUE(F41)&gt;=1,VALUE(F41)&lt;=6,MOD(VALUE(F41),1)=0),1,0),0),IFERROR(IF(AND(VALUE(G41)&gt;=1,VALUE(G41)&lt;=6,MOD(VALUE(G41),1)=0),1,0),0),IFERROR(IF(AND(VALUE(H41)&gt;=1,VALUE(H41)&lt;=6,MOD(VALUE(H41),1)=0),1,0),0),IFERROR(IF(AND(VALUE(I41)&gt;=1,VALUE(I41)&lt;=6,MOD(VALUE(I41),1)=0),1,0),0))</f>
        <v>0</v>
      </c>
      <c r="M41" s="6" t="str">
        <f>'参与者登记'!K12</f>
        <v>待回收</v>
      </c>
      <c r="N41" s="4" t="s">
        <v>72</v>
      </c>
      <c r="O41" s="4" t="s">
        <v>86</v>
      </c>
      <c r="P41" s="4" t="s">
        <v>78</v>
      </c>
      <c r="Q41" s="4" t="s">
        <v>75</v>
      </c>
      <c r="R41" s="4" t="s">
        <v>78</v>
      </c>
      <c r="S41" s="4" t="s">
        <v>75</v>
      </c>
      <c r="T41" s="6">
        <f>IF(M41&lt;&gt;"纳入","",IF(VALUE(D41)=6,"",IF(VALUE(D41)=3,0.5,IF(OR(AND(VALUE(D41)&lt;3,P41=R41),AND(VALUE(D41)&gt;3,Q41=R41)),1,0))))</f>
        <v/>
      </c>
      <c r="U41" s="6">
        <f>IF(AND(M41="纳入",IFERROR(VALUE(D41),0)=6),1,0)</f>
        <v>0</v>
      </c>
      <c r="V41" s="6">
        <f>IF(AND(M41="纳入",IFERROR(VALUE(D41),0)=3),1,0)</f>
        <v>0</v>
      </c>
      <c r="W41" s="6">
        <f>IF(AND(M41="纳入",ISNUMBER(T41),T41=1),1,0)</f>
        <v>0</v>
      </c>
      <c r="X41" s="6">
        <f>IF(AND(M41="纳入",ISNUMBER(T41),T41=0),1,0)</f>
        <v>0</v>
      </c>
      <c r="Y41" s="6">
        <f>IF(AND(M41="纳入",ISNUMBER(T41)),1,0)</f>
        <v>0</v>
      </c>
      <c r="Z41" s="6">
        <f>IF(M41&lt;&gt;"纳入","",IF(VALUE(E41)=6,"",IF(VALUE(E41)=3,0.5,IF(OR(AND(VALUE(E41)&lt;3,P41=R41),AND(VALUE(E41)&gt;3,Q41=R41)),1,0))))</f>
        <v/>
      </c>
      <c r="AA41" s="6">
        <f>IF(M41&lt;&gt;"纳入","",IF(VALUE(F41)=6,"",IF(VALUE(F41)=3,0.5,IF(OR(AND(VALUE(F41)&lt;3,P41=R41),AND(VALUE(F41)&gt;3,Q41=R41)),1,0))))</f>
        <v/>
      </c>
      <c r="AB41" s="6">
        <f>IF(M41&lt;&gt;"纳入","",IF(VALUE(G41)=6,"",IF(VALUE(G41)=3,0.5,IF(OR(AND(VALUE(G41)&lt;3,P41=R41),AND(VALUE(G41)&gt;3,Q41=R41)),1,0))))</f>
        <v/>
      </c>
      <c r="AC41" s="6">
        <f>IF(M41&lt;&gt;"纳入","",IF(VALUE(H41)=6,"",IF(VALUE(H41)=3,0.5,IF(OR(AND(VALUE(H41)&lt;3,P41=R41),AND(VALUE(H41)&gt;3,Q41=R41)),1,0))))</f>
        <v/>
      </c>
      <c r="AD41" s="6">
        <f>IF(M41&lt;&gt;"纳入","",IF(VALUE(I41)=6,"",IF(VALUE(I41)=3,0.5,IF(OR(AND(VALUE(I41)&lt;3,P41=R41),AND(VALUE(I41)&gt;3,Q41=R41)),1,0))))</f>
        <v/>
      </c>
    </row>
    <row r="42" spans="1:30" ht="28" customHeight="1">
      <c r="A42" s="4" t="s">
        <v>103</v>
      </c>
      <c r="B42" s="4">
        <v>6</v>
      </c>
      <c r="C42" s="4" t="s">
        <v>90</v>
      </c>
      <c r="D42" s="5"/>
      <c r="E42" s="5"/>
      <c r="F42" s="5"/>
      <c r="G42" s="5"/>
      <c r="H42" s="5"/>
      <c r="I42" s="5"/>
      <c r="J42" s="5"/>
      <c r="K42" s="5"/>
      <c r="L42" s="6">
        <f>SUM(IFERROR(IF(AND(VALUE(D42)&gt;=1,VALUE(D42)&lt;=6,MOD(VALUE(D42),1)=0),1,0),0),IFERROR(IF(AND(VALUE(E42)&gt;=1,VALUE(E42)&lt;=6,MOD(VALUE(E42),1)=0),1,0),0),IFERROR(IF(AND(VALUE(F42)&gt;=1,VALUE(F42)&lt;=6,MOD(VALUE(F42),1)=0),1,0),0),IFERROR(IF(AND(VALUE(G42)&gt;=1,VALUE(G42)&lt;=6,MOD(VALUE(G42),1)=0),1,0),0),IFERROR(IF(AND(VALUE(H42)&gt;=1,VALUE(H42)&lt;=6,MOD(VALUE(H42),1)=0),1,0),0),IFERROR(IF(AND(VALUE(I42)&gt;=1,VALUE(I42)&lt;=6,MOD(VALUE(I42),1)=0),1,0),0))</f>
        <v>0</v>
      </c>
      <c r="M42" s="6" t="str">
        <f>'参与者登记'!K12</f>
        <v>待回收</v>
      </c>
      <c r="N42" s="4" t="s">
        <v>72</v>
      </c>
      <c r="O42" s="4" t="s">
        <v>77</v>
      </c>
      <c r="P42" s="4" t="s">
        <v>89</v>
      </c>
      <c r="Q42" s="4" t="s">
        <v>87</v>
      </c>
      <c r="R42" s="4" t="s">
        <v>87</v>
      </c>
      <c r="S42" s="4" t="s">
        <v>89</v>
      </c>
      <c r="T42" s="6">
        <f>IF(M42&lt;&gt;"纳入","",IF(VALUE(D42)=6,"",IF(VALUE(D42)=3,0.5,IF(OR(AND(VALUE(D42)&lt;3,P42=R42),AND(VALUE(D42)&gt;3,Q42=R42)),1,0))))</f>
        <v/>
      </c>
      <c r="U42" s="6">
        <f>IF(AND(M42="纳入",IFERROR(VALUE(D42),0)=6),1,0)</f>
        <v>0</v>
      </c>
      <c r="V42" s="6">
        <f>IF(AND(M42="纳入",IFERROR(VALUE(D42),0)=3),1,0)</f>
        <v>0</v>
      </c>
      <c r="W42" s="6">
        <f>IF(AND(M42="纳入",ISNUMBER(T42),T42=1),1,0)</f>
        <v>0</v>
      </c>
      <c r="X42" s="6">
        <f>IF(AND(M42="纳入",ISNUMBER(T42),T42=0),1,0)</f>
        <v>0</v>
      </c>
      <c r="Y42" s="6">
        <f>IF(AND(M42="纳入",ISNUMBER(T42)),1,0)</f>
        <v>0</v>
      </c>
      <c r="Z42" s="6">
        <f>IF(M42&lt;&gt;"纳入","",IF(VALUE(E42)=6,"",IF(VALUE(E42)=3,0.5,IF(OR(AND(VALUE(E42)&lt;3,P42=R42),AND(VALUE(E42)&gt;3,Q42=R42)),1,0))))</f>
        <v/>
      </c>
      <c r="AA42" s="6">
        <f>IF(M42&lt;&gt;"纳入","",IF(VALUE(F42)=6,"",IF(VALUE(F42)=3,0.5,IF(OR(AND(VALUE(F42)&lt;3,P42=R42),AND(VALUE(F42)&gt;3,Q42=R42)),1,0))))</f>
        <v/>
      </c>
      <c r="AB42" s="6">
        <f>IF(M42&lt;&gt;"纳入","",IF(VALUE(G42)=6,"",IF(VALUE(G42)=3,0.5,IF(OR(AND(VALUE(G42)&lt;3,P42=R42),AND(VALUE(G42)&gt;3,Q42=R42)),1,0))))</f>
        <v/>
      </c>
      <c r="AC42" s="6">
        <f>IF(M42&lt;&gt;"纳入","",IF(VALUE(H42)=6,"",IF(VALUE(H42)=3,0.5,IF(OR(AND(VALUE(H42)&lt;3,P42=R42),AND(VALUE(H42)&gt;3,Q42=R42)),1,0))))</f>
        <v/>
      </c>
      <c r="AD42" s="6">
        <f>IF(M42&lt;&gt;"纳入","",IF(VALUE(I42)=6,"",IF(VALUE(I42)=3,0.5,IF(OR(AND(VALUE(I42)&lt;3,P42=R42),AND(VALUE(I42)&gt;3,Q42=R42)),1,0))))</f>
        <v/>
      </c>
    </row>
    <row r="43" spans="1:30" ht="28" customHeight="1">
      <c r="A43" s="4" t="s">
        <v>105</v>
      </c>
      <c r="B43" s="4">
        <v>1</v>
      </c>
      <c r="C43" s="4" t="s">
        <v>71</v>
      </c>
      <c r="D43" s="5"/>
      <c r="E43" s="5"/>
      <c r="F43" s="5"/>
      <c r="G43" s="5"/>
      <c r="H43" s="5"/>
      <c r="I43" s="5"/>
      <c r="J43" s="5"/>
      <c r="K43" s="5"/>
      <c r="L43" s="6">
        <f>SUM(IFERROR(IF(AND(VALUE(D43)&gt;=1,VALUE(D43)&lt;=6,MOD(VALUE(D43),1)=0),1,0),0),IFERROR(IF(AND(VALUE(E43)&gt;=1,VALUE(E43)&lt;=6,MOD(VALUE(E43),1)=0),1,0),0),IFERROR(IF(AND(VALUE(F43)&gt;=1,VALUE(F43)&lt;=6,MOD(VALUE(F43),1)=0),1,0),0),IFERROR(IF(AND(VALUE(G43)&gt;=1,VALUE(G43)&lt;=6,MOD(VALUE(G43),1)=0),1,0),0),IFERROR(IF(AND(VALUE(H43)&gt;=1,VALUE(H43)&lt;=6,MOD(VALUE(H43),1)=0),1,0),0),IFERROR(IF(AND(VALUE(I43)&gt;=1,VALUE(I43)&lt;=6,MOD(VALUE(I43),1)=0),1,0),0))</f>
        <v>0</v>
      </c>
      <c r="M43" s="6" t="str">
        <f>'参与者登记'!K13</f>
        <v>待回收</v>
      </c>
      <c r="N43" s="4" t="s">
        <v>72</v>
      </c>
      <c r="O43" s="4" t="s">
        <v>73</v>
      </c>
      <c r="P43" s="4" t="s">
        <v>78</v>
      </c>
      <c r="Q43" s="4" t="s">
        <v>75</v>
      </c>
      <c r="R43" s="4" t="s">
        <v>78</v>
      </c>
      <c r="S43" s="4" t="s">
        <v>75</v>
      </c>
      <c r="T43" s="6">
        <f>IF(M43&lt;&gt;"纳入","",IF(VALUE(D43)=6,"",IF(VALUE(D43)=3,0.5,IF(OR(AND(VALUE(D43)&lt;3,P43=R43),AND(VALUE(D43)&gt;3,Q43=R43)),1,0))))</f>
        <v/>
      </c>
      <c r="U43" s="6">
        <f>IF(AND(M43="纳入",IFERROR(VALUE(D43),0)=6),1,0)</f>
        <v>0</v>
      </c>
      <c r="V43" s="6">
        <f>IF(AND(M43="纳入",IFERROR(VALUE(D43),0)=3),1,0)</f>
        <v>0</v>
      </c>
      <c r="W43" s="6">
        <f>IF(AND(M43="纳入",ISNUMBER(T43),T43=1),1,0)</f>
        <v>0</v>
      </c>
      <c r="X43" s="6">
        <f>IF(AND(M43="纳入",ISNUMBER(T43),T43=0),1,0)</f>
        <v>0</v>
      </c>
      <c r="Y43" s="6">
        <f>IF(AND(M43="纳入",ISNUMBER(T43)),1,0)</f>
        <v>0</v>
      </c>
      <c r="Z43" s="6">
        <f>IF(M43&lt;&gt;"纳入","",IF(VALUE(E43)=6,"",IF(VALUE(E43)=3,0.5,IF(OR(AND(VALUE(E43)&lt;3,P43=R43),AND(VALUE(E43)&gt;3,Q43=R43)),1,0))))</f>
        <v/>
      </c>
      <c r="AA43" s="6">
        <f>IF(M43&lt;&gt;"纳入","",IF(VALUE(F43)=6,"",IF(VALUE(F43)=3,0.5,IF(OR(AND(VALUE(F43)&lt;3,P43=R43),AND(VALUE(F43)&gt;3,Q43=R43)),1,0))))</f>
        <v/>
      </c>
      <c r="AB43" s="6">
        <f>IF(M43&lt;&gt;"纳入","",IF(VALUE(G43)=6,"",IF(VALUE(G43)=3,0.5,IF(OR(AND(VALUE(G43)&lt;3,P43=R43),AND(VALUE(G43)&gt;3,Q43=R43)),1,0))))</f>
        <v/>
      </c>
      <c r="AC43" s="6">
        <f>IF(M43&lt;&gt;"纳入","",IF(VALUE(H43)=6,"",IF(VALUE(H43)=3,0.5,IF(OR(AND(VALUE(H43)&lt;3,P43=R43),AND(VALUE(H43)&gt;3,Q43=R43)),1,0))))</f>
        <v/>
      </c>
      <c r="AD43" s="6">
        <f>IF(M43&lt;&gt;"纳入","",IF(VALUE(I43)=6,"",IF(VALUE(I43)=3,0.5,IF(OR(AND(VALUE(I43)&lt;3,P43=R43),AND(VALUE(I43)&gt;3,Q43=R43)),1,0))))</f>
        <v/>
      </c>
    </row>
    <row r="44" spans="1:30" ht="28" customHeight="1">
      <c r="A44" s="4" t="s">
        <v>105</v>
      </c>
      <c r="B44" s="4">
        <v>2</v>
      </c>
      <c r="C44" s="4" t="s">
        <v>76</v>
      </c>
      <c r="D44" s="5"/>
      <c r="E44" s="5"/>
      <c r="F44" s="5"/>
      <c r="G44" s="5"/>
      <c r="H44" s="5"/>
      <c r="I44" s="5"/>
      <c r="J44" s="5"/>
      <c r="K44" s="5"/>
      <c r="L44" s="6">
        <f>SUM(IFERROR(IF(AND(VALUE(D44)&gt;=1,VALUE(D44)&lt;=6,MOD(VALUE(D44),1)=0),1,0),0),IFERROR(IF(AND(VALUE(E44)&gt;=1,VALUE(E44)&lt;=6,MOD(VALUE(E44),1)=0),1,0),0),IFERROR(IF(AND(VALUE(F44)&gt;=1,VALUE(F44)&lt;=6,MOD(VALUE(F44),1)=0),1,0),0),IFERROR(IF(AND(VALUE(G44)&gt;=1,VALUE(G44)&lt;=6,MOD(VALUE(G44),1)=0),1,0),0),IFERROR(IF(AND(VALUE(H44)&gt;=1,VALUE(H44)&lt;=6,MOD(VALUE(H44),1)=0),1,0),0),IFERROR(IF(AND(VALUE(I44)&gt;=1,VALUE(I44)&lt;=6,MOD(VALUE(I44),1)=0),1,0),0))</f>
        <v>0</v>
      </c>
      <c r="M44" s="6" t="str">
        <f>'参与者登记'!K13</f>
        <v>待回收</v>
      </c>
      <c r="N44" s="4" t="s">
        <v>72</v>
      </c>
      <c r="O44" s="4" t="s">
        <v>77</v>
      </c>
      <c r="P44" s="4" t="s">
        <v>78</v>
      </c>
      <c r="Q44" s="4" t="s">
        <v>87</v>
      </c>
      <c r="R44" s="4" t="s">
        <v>78</v>
      </c>
      <c r="S44" s="4" t="s">
        <v>87</v>
      </c>
      <c r="T44" s="6">
        <f>IF(M44&lt;&gt;"纳入","",IF(VALUE(D44)=6,"",IF(VALUE(D44)=3,0.5,IF(OR(AND(VALUE(D44)&lt;3,P44=R44),AND(VALUE(D44)&gt;3,Q44=R44)),1,0))))</f>
        <v/>
      </c>
      <c r="U44" s="6">
        <f>IF(AND(M44="纳入",IFERROR(VALUE(D44),0)=6),1,0)</f>
        <v>0</v>
      </c>
      <c r="V44" s="6">
        <f>IF(AND(M44="纳入",IFERROR(VALUE(D44),0)=3),1,0)</f>
        <v>0</v>
      </c>
      <c r="W44" s="6">
        <f>IF(AND(M44="纳入",ISNUMBER(T44),T44=1),1,0)</f>
        <v>0</v>
      </c>
      <c r="X44" s="6">
        <f>IF(AND(M44="纳入",ISNUMBER(T44),T44=0),1,0)</f>
        <v>0</v>
      </c>
      <c r="Y44" s="6">
        <f>IF(AND(M44="纳入",ISNUMBER(T44)),1,0)</f>
        <v>0</v>
      </c>
      <c r="Z44" s="6">
        <f>IF(M44&lt;&gt;"纳入","",IF(VALUE(E44)=6,"",IF(VALUE(E44)=3,0.5,IF(OR(AND(VALUE(E44)&lt;3,P44=R44),AND(VALUE(E44)&gt;3,Q44=R44)),1,0))))</f>
        <v/>
      </c>
      <c r="AA44" s="6">
        <f>IF(M44&lt;&gt;"纳入","",IF(VALUE(F44)=6,"",IF(VALUE(F44)=3,0.5,IF(OR(AND(VALUE(F44)&lt;3,P44=R44),AND(VALUE(F44)&gt;3,Q44=R44)),1,0))))</f>
        <v/>
      </c>
      <c r="AB44" s="6">
        <f>IF(M44&lt;&gt;"纳入","",IF(VALUE(G44)=6,"",IF(VALUE(G44)=3,0.5,IF(OR(AND(VALUE(G44)&lt;3,P44=R44),AND(VALUE(G44)&gt;3,Q44=R44)),1,0))))</f>
        <v/>
      </c>
      <c r="AC44" s="6">
        <f>IF(M44&lt;&gt;"纳入","",IF(VALUE(H44)=6,"",IF(VALUE(H44)=3,0.5,IF(OR(AND(VALUE(H44)&lt;3,P44=R44),AND(VALUE(H44)&gt;3,Q44=R44)),1,0))))</f>
        <v/>
      </c>
      <c r="AD44" s="6">
        <f>IF(M44&lt;&gt;"纳入","",IF(VALUE(I44)=6,"",IF(VALUE(I44)=3,0.5,IF(OR(AND(VALUE(I44)&lt;3,P44=R44),AND(VALUE(I44)&gt;3,Q44=R44)),1,0))))</f>
        <v/>
      </c>
    </row>
    <row r="45" spans="1:30" ht="28" customHeight="1">
      <c r="A45" s="4" t="s">
        <v>105</v>
      </c>
      <c r="B45" s="4">
        <v>3</v>
      </c>
      <c r="C45" s="4" t="s">
        <v>80</v>
      </c>
      <c r="D45" s="5"/>
      <c r="E45" s="5"/>
      <c r="F45" s="5"/>
      <c r="G45" s="5"/>
      <c r="H45" s="5"/>
      <c r="I45" s="5"/>
      <c r="J45" s="5"/>
      <c r="K45" s="5"/>
      <c r="L45" s="6">
        <f>SUM(IFERROR(IF(AND(VALUE(D45)&gt;=1,VALUE(D45)&lt;=6,MOD(VALUE(D45),1)=0),1,0),0),IFERROR(IF(AND(VALUE(E45)&gt;=1,VALUE(E45)&lt;=6,MOD(VALUE(E45),1)=0),1,0),0),IFERROR(IF(AND(VALUE(F45)&gt;=1,VALUE(F45)&lt;=6,MOD(VALUE(F45),1)=0),1,0),0),IFERROR(IF(AND(VALUE(G45)&gt;=1,VALUE(G45)&lt;=6,MOD(VALUE(G45),1)=0),1,0),0),IFERROR(IF(AND(VALUE(H45)&gt;=1,VALUE(H45)&lt;=6,MOD(VALUE(H45),1)=0),1,0),0),IFERROR(IF(AND(VALUE(I45)&gt;=1,VALUE(I45)&lt;=6,MOD(VALUE(I45),1)=0),1,0),0))</f>
        <v>0</v>
      </c>
      <c r="M45" s="6" t="str">
        <f>'参与者登记'!K13</f>
        <v>待回收</v>
      </c>
      <c r="N45" s="4" t="s">
        <v>81</v>
      </c>
      <c r="O45" s="4" t="s">
        <v>97</v>
      </c>
      <c r="P45" s="4" t="s">
        <v>84</v>
      </c>
      <c r="Q45" s="4" t="s">
        <v>83</v>
      </c>
      <c r="R45" s="4" t="s">
        <v>83</v>
      </c>
      <c r="S45" s="4" t="s">
        <v>84</v>
      </c>
      <c r="T45" s="6">
        <f>IF(M45&lt;&gt;"纳入","",IF(VALUE(D45)=6,"",IF(VALUE(D45)=3,0.5,IF(OR(AND(VALUE(D45)&lt;3,P45=R45),AND(VALUE(D45)&gt;3,Q45=R45)),1,0))))</f>
        <v/>
      </c>
      <c r="U45" s="6">
        <f>IF(AND(M45="纳入",IFERROR(VALUE(D45),0)=6),1,0)</f>
        <v>0</v>
      </c>
      <c r="V45" s="6">
        <f>IF(AND(M45="纳入",IFERROR(VALUE(D45),0)=3),1,0)</f>
        <v>0</v>
      </c>
      <c r="W45" s="6">
        <f>IF(AND(M45="纳入",ISNUMBER(T45),T45=1),1,0)</f>
        <v>0</v>
      </c>
      <c r="X45" s="6">
        <f>IF(AND(M45="纳入",ISNUMBER(T45),T45=0),1,0)</f>
        <v>0</v>
      </c>
      <c r="Y45" s="6">
        <f>IF(AND(M45="纳入",ISNUMBER(T45)),1,0)</f>
        <v>0</v>
      </c>
      <c r="Z45" s="6">
        <f>IF(M45&lt;&gt;"纳入","",IF(VALUE(E45)=6,"",IF(VALUE(E45)=3,0.5,IF(OR(AND(VALUE(E45)&lt;3,P45=R45),AND(VALUE(E45)&gt;3,Q45=R45)),1,0))))</f>
        <v/>
      </c>
      <c r="AA45" s="6">
        <f>IF(M45&lt;&gt;"纳入","",IF(VALUE(F45)=6,"",IF(VALUE(F45)=3,0.5,IF(OR(AND(VALUE(F45)&lt;3,P45=R45),AND(VALUE(F45)&gt;3,Q45=R45)),1,0))))</f>
        <v/>
      </c>
      <c r="AB45" s="6">
        <f>IF(M45&lt;&gt;"纳入","",IF(VALUE(G45)=6,"",IF(VALUE(G45)=3,0.5,IF(OR(AND(VALUE(G45)&lt;3,P45=R45),AND(VALUE(G45)&gt;3,Q45=R45)),1,0))))</f>
        <v/>
      </c>
      <c r="AC45" s="6">
        <f>IF(M45&lt;&gt;"纳入","",IF(VALUE(H45)=6,"",IF(VALUE(H45)=3,0.5,IF(OR(AND(VALUE(H45)&lt;3,P45=R45),AND(VALUE(H45)&gt;3,Q45=R45)),1,0))))</f>
        <v/>
      </c>
      <c r="AD45" s="6">
        <f>IF(M45&lt;&gt;"纳入","",IF(VALUE(I45)=6,"",IF(VALUE(I45)=3,0.5,IF(OR(AND(VALUE(I45)&lt;3,P45=R45),AND(VALUE(I45)&gt;3,Q45=R45)),1,0))))</f>
        <v/>
      </c>
    </row>
    <row r="46" spans="1:30" ht="28" customHeight="1">
      <c r="A46" s="4" t="s">
        <v>105</v>
      </c>
      <c r="B46" s="4">
        <v>4</v>
      </c>
      <c r="C46" s="4" t="s">
        <v>85</v>
      </c>
      <c r="D46" s="5"/>
      <c r="E46" s="5"/>
      <c r="F46" s="5"/>
      <c r="G46" s="5"/>
      <c r="H46" s="5"/>
      <c r="I46" s="5"/>
      <c r="J46" s="5"/>
      <c r="K46" s="5"/>
      <c r="L46" s="6">
        <f>SUM(IFERROR(IF(AND(VALUE(D46)&gt;=1,VALUE(D46)&lt;=6,MOD(VALUE(D46),1)=0),1,0),0),IFERROR(IF(AND(VALUE(E46)&gt;=1,VALUE(E46)&lt;=6,MOD(VALUE(E46),1)=0),1,0),0),IFERROR(IF(AND(VALUE(F46)&gt;=1,VALUE(F46)&lt;=6,MOD(VALUE(F46),1)=0),1,0),0),IFERROR(IF(AND(VALUE(G46)&gt;=1,VALUE(G46)&lt;=6,MOD(VALUE(G46),1)=0),1,0),0),IFERROR(IF(AND(VALUE(H46)&gt;=1,VALUE(H46)&lt;=6,MOD(VALUE(H46),1)=0),1,0),0),IFERROR(IF(AND(VALUE(I46)&gt;=1,VALUE(I46)&lt;=6,MOD(VALUE(I46),1)=0),1,0),0))</f>
        <v>0</v>
      </c>
      <c r="M46" s="6" t="str">
        <f>'参与者登记'!K13</f>
        <v>待回收</v>
      </c>
      <c r="N46" s="4" t="s">
        <v>72</v>
      </c>
      <c r="O46" s="4" t="s">
        <v>86</v>
      </c>
      <c r="P46" s="4" t="s">
        <v>74</v>
      </c>
      <c r="Q46" s="4" t="s">
        <v>79</v>
      </c>
      <c r="R46" s="4" t="s">
        <v>74</v>
      </c>
      <c r="S46" s="4" t="s">
        <v>79</v>
      </c>
      <c r="T46" s="6">
        <f>IF(M46&lt;&gt;"纳入","",IF(VALUE(D46)=6,"",IF(VALUE(D46)=3,0.5,IF(OR(AND(VALUE(D46)&lt;3,P46=R46),AND(VALUE(D46)&gt;3,Q46=R46)),1,0))))</f>
        <v/>
      </c>
      <c r="U46" s="6">
        <f>IF(AND(M46="纳入",IFERROR(VALUE(D46),0)=6),1,0)</f>
        <v>0</v>
      </c>
      <c r="V46" s="6">
        <f>IF(AND(M46="纳入",IFERROR(VALUE(D46),0)=3),1,0)</f>
        <v>0</v>
      </c>
      <c r="W46" s="6">
        <f>IF(AND(M46="纳入",ISNUMBER(T46),T46=1),1,0)</f>
        <v>0</v>
      </c>
      <c r="X46" s="6">
        <f>IF(AND(M46="纳入",ISNUMBER(T46),T46=0),1,0)</f>
        <v>0</v>
      </c>
      <c r="Y46" s="6">
        <f>IF(AND(M46="纳入",ISNUMBER(T46)),1,0)</f>
        <v>0</v>
      </c>
      <c r="Z46" s="6">
        <f>IF(M46&lt;&gt;"纳入","",IF(VALUE(E46)=6,"",IF(VALUE(E46)=3,0.5,IF(OR(AND(VALUE(E46)&lt;3,P46=R46),AND(VALUE(E46)&gt;3,Q46=R46)),1,0))))</f>
        <v/>
      </c>
      <c r="AA46" s="6">
        <f>IF(M46&lt;&gt;"纳入","",IF(VALUE(F46)=6,"",IF(VALUE(F46)=3,0.5,IF(OR(AND(VALUE(F46)&lt;3,P46=R46),AND(VALUE(F46)&gt;3,Q46=R46)),1,0))))</f>
        <v/>
      </c>
      <c r="AB46" s="6">
        <f>IF(M46&lt;&gt;"纳入","",IF(VALUE(G46)=6,"",IF(VALUE(G46)=3,0.5,IF(OR(AND(VALUE(G46)&lt;3,P46=R46),AND(VALUE(G46)&gt;3,Q46=R46)),1,0))))</f>
        <v/>
      </c>
      <c r="AC46" s="6">
        <f>IF(M46&lt;&gt;"纳入","",IF(VALUE(H46)=6,"",IF(VALUE(H46)=3,0.5,IF(OR(AND(VALUE(H46)&lt;3,P46=R46),AND(VALUE(H46)&gt;3,Q46=R46)),1,0))))</f>
        <v/>
      </c>
      <c r="AD46" s="6">
        <f>IF(M46&lt;&gt;"纳入","",IF(VALUE(I46)=6,"",IF(VALUE(I46)=3,0.5,IF(OR(AND(VALUE(I46)&lt;3,P46=R46),AND(VALUE(I46)&gt;3,Q46=R46)),1,0))))</f>
        <v/>
      </c>
    </row>
    <row r="47" spans="1:30" ht="28" customHeight="1">
      <c r="A47" s="4" t="s">
        <v>105</v>
      </c>
      <c r="B47" s="4">
        <v>5</v>
      </c>
      <c r="C47" s="4" t="s">
        <v>88</v>
      </c>
      <c r="D47" s="5"/>
      <c r="E47" s="5"/>
      <c r="F47" s="5"/>
      <c r="G47" s="5"/>
      <c r="H47" s="5"/>
      <c r="I47" s="5"/>
      <c r="J47" s="5"/>
      <c r="K47" s="5"/>
      <c r="L47" s="6">
        <f>SUM(IFERROR(IF(AND(VALUE(D47)&gt;=1,VALUE(D47)&lt;=6,MOD(VALUE(D47),1)=0),1,0),0),IFERROR(IF(AND(VALUE(E47)&gt;=1,VALUE(E47)&lt;=6,MOD(VALUE(E47),1)=0),1,0),0),IFERROR(IF(AND(VALUE(F47)&gt;=1,VALUE(F47)&lt;=6,MOD(VALUE(F47),1)=0),1,0),0),IFERROR(IF(AND(VALUE(G47)&gt;=1,VALUE(G47)&lt;=6,MOD(VALUE(G47),1)=0),1,0),0),IFERROR(IF(AND(VALUE(H47)&gt;=1,VALUE(H47)&lt;=6,MOD(VALUE(H47),1)=0),1,0),0),IFERROR(IF(AND(VALUE(I47)&gt;=1,VALUE(I47)&lt;=6,MOD(VALUE(I47),1)=0),1,0),0))</f>
        <v>0</v>
      </c>
      <c r="M47" s="6" t="str">
        <f>'参与者登记'!K13</f>
        <v>待回收</v>
      </c>
      <c r="N47" s="4" t="s">
        <v>72</v>
      </c>
      <c r="O47" s="4" t="s">
        <v>77</v>
      </c>
      <c r="P47" s="4" t="s">
        <v>74</v>
      </c>
      <c r="Q47" s="4" t="s">
        <v>89</v>
      </c>
      <c r="R47" s="4" t="s">
        <v>74</v>
      </c>
      <c r="S47" s="4" t="s">
        <v>89</v>
      </c>
      <c r="T47" s="6">
        <f>IF(M47&lt;&gt;"纳入","",IF(VALUE(D47)=6,"",IF(VALUE(D47)=3,0.5,IF(OR(AND(VALUE(D47)&lt;3,P47=R47),AND(VALUE(D47)&gt;3,Q47=R47)),1,0))))</f>
        <v/>
      </c>
      <c r="U47" s="6">
        <f>IF(AND(M47="纳入",IFERROR(VALUE(D47),0)=6),1,0)</f>
        <v>0</v>
      </c>
      <c r="V47" s="6">
        <f>IF(AND(M47="纳入",IFERROR(VALUE(D47),0)=3),1,0)</f>
        <v>0</v>
      </c>
      <c r="W47" s="6">
        <f>IF(AND(M47="纳入",ISNUMBER(T47),T47=1),1,0)</f>
        <v>0</v>
      </c>
      <c r="X47" s="6">
        <f>IF(AND(M47="纳入",ISNUMBER(T47),T47=0),1,0)</f>
        <v>0</v>
      </c>
      <c r="Y47" s="6">
        <f>IF(AND(M47="纳入",ISNUMBER(T47)),1,0)</f>
        <v>0</v>
      </c>
      <c r="Z47" s="6">
        <f>IF(M47&lt;&gt;"纳入","",IF(VALUE(E47)=6,"",IF(VALUE(E47)=3,0.5,IF(OR(AND(VALUE(E47)&lt;3,P47=R47),AND(VALUE(E47)&gt;3,Q47=R47)),1,0))))</f>
        <v/>
      </c>
      <c r="AA47" s="6">
        <f>IF(M47&lt;&gt;"纳入","",IF(VALUE(F47)=6,"",IF(VALUE(F47)=3,0.5,IF(OR(AND(VALUE(F47)&lt;3,P47=R47),AND(VALUE(F47)&gt;3,Q47=R47)),1,0))))</f>
        <v/>
      </c>
      <c r="AB47" s="6">
        <f>IF(M47&lt;&gt;"纳入","",IF(VALUE(G47)=6,"",IF(VALUE(G47)=3,0.5,IF(OR(AND(VALUE(G47)&lt;3,P47=R47),AND(VALUE(G47)&gt;3,Q47=R47)),1,0))))</f>
        <v/>
      </c>
      <c r="AC47" s="6">
        <f>IF(M47&lt;&gt;"纳入","",IF(VALUE(H47)=6,"",IF(VALUE(H47)=3,0.5,IF(OR(AND(VALUE(H47)&lt;3,P47=R47),AND(VALUE(H47)&gt;3,Q47=R47)),1,0))))</f>
        <v/>
      </c>
      <c r="AD47" s="6">
        <f>IF(M47&lt;&gt;"纳入","",IF(VALUE(I47)=6,"",IF(VALUE(I47)=3,0.5,IF(OR(AND(VALUE(I47)&lt;3,P47=R47),AND(VALUE(I47)&gt;3,Q47=R47)),1,0))))</f>
        <v/>
      </c>
    </row>
    <row r="48" spans="1:30" ht="28" customHeight="1">
      <c r="A48" s="4" t="s">
        <v>105</v>
      </c>
      <c r="B48" s="4">
        <v>6</v>
      </c>
      <c r="C48" s="4" t="s">
        <v>90</v>
      </c>
      <c r="D48" s="5"/>
      <c r="E48" s="5"/>
      <c r="F48" s="5"/>
      <c r="G48" s="5"/>
      <c r="H48" s="5"/>
      <c r="I48" s="5"/>
      <c r="J48" s="5"/>
      <c r="K48" s="5"/>
      <c r="L48" s="6">
        <f>SUM(IFERROR(IF(AND(VALUE(D48)&gt;=1,VALUE(D48)&lt;=6,MOD(VALUE(D48),1)=0),1,0),0),IFERROR(IF(AND(VALUE(E48)&gt;=1,VALUE(E48)&lt;=6,MOD(VALUE(E48),1)=0),1,0),0),IFERROR(IF(AND(VALUE(F48)&gt;=1,VALUE(F48)&lt;=6,MOD(VALUE(F48),1)=0),1,0),0),IFERROR(IF(AND(VALUE(G48)&gt;=1,VALUE(G48)&lt;=6,MOD(VALUE(G48),1)=0),1,0),0),IFERROR(IF(AND(VALUE(H48)&gt;=1,VALUE(H48)&lt;=6,MOD(VALUE(H48),1)=0),1,0),0),IFERROR(IF(AND(VALUE(I48)&gt;=1,VALUE(I48)&lt;=6,MOD(VALUE(I48),1)=0),1,0),0))</f>
        <v>0</v>
      </c>
      <c r="M48" s="6" t="str">
        <f>'参与者登记'!K13</f>
        <v>待回收</v>
      </c>
      <c r="N48" s="4" t="s">
        <v>81</v>
      </c>
      <c r="O48" s="4" t="s">
        <v>91</v>
      </c>
      <c r="P48" s="4" t="s">
        <v>83</v>
      </c>
      <c r="Q48" s="4" t="s">
        <v>84</v>
      </c>
      <c r="R48" s="4" t="s">
        <v>83</v>
      </c>
      <c r="S48" s="4" t="s">
        <v>84</v>
      </c>
      <c r="T48" s="6">
        <f>IF(M48&lt;&gt;"纳入","",IF(VALUE(D48)=6,"",IF(VALUE(D48)=3,0.5,IF(OR(AND(VALUE(D48)&lt;3,P48=R48),AND(VALUE(D48)&gt;3,Q48=R48)),1,0))))</f>
        <v/>
      </c>
      <c r="U48" s="6">
        <f>IF(AND(M48="纳入",IFERROR(VALUE(D48),0)=6),1,0)</f>
        <v>0</v>
      </c>
      <c r="V48" s="6">
        <f>IF(AND(M48="纳入",IFERROR(VALUE(D48),0)=3),1,0)</f>
        <v>0</v>
      </c>
      <c r="W48" s="6">
        <f>IF(AND(M48="纳入",ISNUMBER(T48),T48=1),1,0)</f>
        <v>0</v>
      </c>
      <c r="X48" s="6">
        <f>IF(AND(M48="纳入",ISNUMBER(T48),T48=0),1,0)</f>
        <v>0</v>
      </c>
      <c r="Y48" s="6">
        <f>IF(AND(M48="纳入",ISNUMBER(T48)),1,0)</f>
        <v>0</v>
      </c>
      <c r="Z48" s="6">
        <f>IF(M48&lt;&gt;"纳入","",IF(VALUE(E48)=6,"",IF(VALUE(E48)=3,0.5,IF(OR(AND(VALUE(E48)&lt;3,P48=R48),AND(VALUE(E48)&gt;3,Q48=R48)),1,0))))</f>
        <v/>
      </c>
      <c r="AA48" s="6">
        <f>IF(M48&lt;&gt;"纳入","",IF(VALUE(F48)=6,"",IF(VALUE(F48)=3,0.5,IF(OR(AND(VALUE(F48)&lt;3,P48=R48),AND(VALUE(F48)&gt;3,Q48=R48)),1,0))))</f>
        <v/>
      </c>
      <c r="AB48" s="6">
        <f>IF(M48&lt;&gt;"纳入","",IF(VALUE(G48)=6,"",IF(VALUE(G48)=3,0.5,IF(OR(AND(VALUE(G48)&lt;3,P48=R48),AND(VALUE(G48)&gt;3,Q48=R48)),1,0))))</f>
        <v/>
      </c>
      <c r="AC48" s="6">
        <f>IF(M48&lt;&gt;"纳入","",IF(VALUE(H48)=6,"",IF(VALUE(H48)=3,0.5,IF(OR(AND(VALUE(H48)&lt;3,P48=R48),AND(VALUE(H48)&gt;3,Q48=R48)),1,0))))</f>
        <v/>
      </c>
      <c r="AD48" s="6">
        <f>IF(M48&lt;&gt;"纳入","",IF(VALUE(I48)=6,"",IF(VALUE(I48)=3,0.5,IF(OR(AND(VALUE(I48)&lt;3,P48=R48),AND(VALUE(I48)&gt;3,Q48=R48)),1,0))))</f>
        <v/>
      </c>
    </row>
    <row r="49" spans="1:30" ht="28" customHeight="1">
      <c r="A49" s="4" t="s">
        <v>106</v>
      </c>
      <c r="B49" s="4">
        <v>1</v>
      </c>
      <c r="C49" s="4" t="s">
        <v>71</v>
      </c>
      <c r="D49" s="5"/>
      <c r="E49" s="5"/>
      <c r="F49" s="5"/>
      <c r="G49" s="5"/>
      <c r="H49" s="5"/>
      <c r="I49" s="5"/>
      <c r="J49" s="5"/>
      <c r="K49" s="5"/>
      <c r="L49" s="6">
        <f>SUM(IFERROR(IF(AND(VALUE(D49)&gt;=1,VALUE(D49)&lt;=6,MOD(VALUE(D49),1)=0),1,0),0),IFERROR(IF(AND(VALUE(E49)&gt;=1,VALUE(E49)&lt;=6,MOD(VALUE(E49),1)=0),1,0),0),IFERROR(IF(AND(VALUE(F49)&gt;=1,VALUE(F49)&lt;=6,MOD(VALUE(F49),1)=0),1,0),0),IFERROR(IF(AND(VALUE(G49)&gt;=1,VALUE(G49)&lt;=6,MOD(VALUE(G49),1)=0),1,0),0),IFERROR(IF(AND(VALUE(H49)&gt;=1,VALUE(H49)&lt;=6,MOD(VALUE(H49),1)=0),1,0),0),IFERROR(IF(AND(VALUE(I49)&gt;=1,VALUE(I49)&lt;=6,MOD(VALUE(I49),1)=0),1,0),0))</f>
        <v>0</v>
      </c>
      <c r="M49" s="6" t="str">
        <f>'参与者登记'!K14</f>
        <v>待回收</v>
      </c>
      <c r="N49" s="4" t="s">
        <v>72</v>
      </c>
      <c r="O49" s="4" t="s">
        <v>73</v>
      </c>
      <c r="P49" s="4" t="s">
        <v>78</v>
      </c>
      <c r="Q49" s="4" t="s">
        <v>87</v>
      </c>
      <c r="R49" s="4" t="s">
        <v>78</v>
      </c>
      <c r="S49" s="4" t="s">
        <v>87</v>
      </c>
      <c r="T49" s="6">
        <f>IF(M49&lt;&gt;"纳入","",IF(VALUE(D49)=6,"",IF(VALUE(D49)=3,0.5,IF(OR(AND(VALUE(D49)&lt;3,P49=R49),AND(VALUE(D49)&gt;3,Q49=R49)),1,0))))</f>
        <v/>
      </c>
      <c r="U49" s="6">
        <f>IF(AND(M49="纳入",IFERROR(VALUE(D49),0)=6),1,0)</f>
        <v>0</v>
      </c>
      <c r="V49" s="6">
        <f>IF(AND(M49="纳入",IFERROR(VALUE(D49),0)=3),1,0)</f>
        <v>0</v>
      </c>
      <c r="W49" s="6">
        <f>IF(AND(M49="纳入",ISNUMBER(T49),T49=1),1,0)</f>
        <v>0</v>
      </c>
      <c r="X49" s="6">
        <f>IF(AND(M49="纳入",ISNUMBER(T49),T49=0),1,0)</f>
        <v>0</v>
      </c>
      <c r="Y49" s="6">
        <f>IF(AND(M49="纳入",ISNUMBER(T49)),1,0)</f>
        <v>0</v>
      </c>
      <c r="Z49" s="6">
        <f>IF(M49&lt;&gt;"纳入","",IF(VALUE(E49)=6,"",IF(VALUE(E49)=3,0.5,IF(OR(AND(VALUE(E49)&lt;3,P49=R49),AND(VALUE(E49)&gt;3,Q49=R49)),1,0))))</f>
        <v/>
      </c>
      <c r="AA49" s="6">
        <f>IF(M49&lt;&gt;"纳入","",IF(VALUE(F49)=6,"",IF(VALUE(F49)=3,0.5,IF(OR(AND(VALUE(F49)&lt;3,P49=R49),AND(VALUE(F49)&gt;3,Q49=R49)),1,0))))</f>
        <v/>
      </c>
      <c r="AB49" s="6">
        <f>IF(M49&lt;&gt;"纳入","",IF(VALUE(G49)=6,"",IF(VALUE(G49)=3,0.5,IF(OR(AND(VALUE(G49)&lt;3,P49=R49),AND(VALUE(G49)&gt;3,Q49=R49)),1,0))))</f>
        <v/>
      </c>
      <c r="AC49" s="6">
        <f>IF(M49&lt;&gt;"纳入","",IF(VALUE(H49)=6,"",IF(VALUE(H49)=3,0.5,IF(OR(AND(VALUE(H49)&lt;3,P49=R49),AND(VALUE(H49)&gt;3,Q49=R49)),1,0))))</f>
        <v/>
      </c>
      <c r="AD49" s="6">
        <f>IF(M49&lt;&gt;"纳入","",IF(VALUE(I49)=6,"",IF(VALUE(I49)=3,0.5,IF(OR(AND(VALUE(I49)&lt;3,P49=R49),AND(VALUE(I49)&gt;3,Q49=R49)),1,0))))</f>
        <v/>
      </c>
    </row>
    <row r="50" spans="1:30" ht="28" customHeight="1">
      <c r="A50" s="4" t="s">
        <v>106</v>
      </c>
      <c r="B50" s="4">
        <v>2</v>
      </c>
      <c r="C50" s="4" t="s">
        <v>76</v>
      </c>
      <c r="D50" s="5"/>
      <c r="E50" s="5"/>
      <c r="F50" s="5"/>
      <c r="G50" s="5"/>
      <c r="H50" s="5"/>
      <c r="I50" s="5"/>
      <c r="J50" s="5"/>
      <c r="K50" s="5"/>
      <c r="L50" s="6">
        <f>SUM(IFERROR(IF(AND(VALUE(D50)&gt;=1,VALUE(D50)&lt;=6,MOD(VALUE(D50),1)=0),1,0),0),IFERROR(IF(AND(VALUE(E50)&gt;=1,VALUE(E50)&lt;=6,MOD(VALUE(E50),1)=0),1,0),0),IFERROR(IF(AND(VALUE(F50)&gt;=1,VALUE(F50)&lt;=6,MOD(VALUE(F50),1)=0),1,0),0),IFERROR(IF(AND(VALUE(G50)&gt;=1,VALUE(G50)&lt;=6,MOD(VALUE(G50),1)=0),1,0),0),IFERROR(IF(AND(VALUE(H50)&gt;=1,VALUE(H50)&lt;=6,MOD(VALUE(H50),1)=0),1,0),0),IFERROR(IF(AND(VALUE(I50)&gt;=1,VALUE(I50)&lt;=6,MOD(VALUE(I50),1)=0),1,0),0))</f>
        <v>0</v>
      </c>
      <c r="M50" s="6" t="str">
        <f>'参与者登记'!K14</f>
        <v>待回收</v>
      </c>
      <c r="N50" s="4" t="s">
        <v>81</v>
      </c>
      <c r="O50" s="4" t="s">
        <v>102</v>
      </c>
      <c r="P50" s="4" t="s">
        <v>83</v>
      </c>
      <c r="Q50" s="4" t="s">
        <v>84</v>
      </c>
      <c r="R50" s="4" t="s">
        <v>83</v>
      </c>
      <c r="S50" s="4" t="s">
        <v>84</v>
      </c>
      <c r="T50" s="6">
        <f>IF(M50&lt;&gt;"纳入","",IF(VALUE(D50)=6,"",IF(VALUE(D50)=3,0.5,IF(OR(AND(VALUE(D50)&lt;3,P50=R50),AND(VALUE(D50)&gt;3,Q50=R50)),1,0))))</f>
        <v/>
      </c>
      <c r="U50" s="6">
        <f>IF(AND(M50="纳入",IFERROR(VALUE(D50),0)=6),1,0)</f>
        <v>0</v>
      </c>
      <c r="V50" s="6">
        <f>IF(AND(M50="纳入",IFERROR(VALUE(D50),0)=3),1,0)</f>
        <v>0</v>
      </c>
      <c r="W50" s="6">
        <f>IF(AND(M50="纳入",ISNUMBER(T50),T50=1),1,0)</f>
        <v>0</v>
      </c>
      <c r="X50" s="6">
        <f>IF(AND(M50="纳入",ISNUMBER(T50),T50=0),1,0)</f>
        <v>0</v>
      </c>
      <c r="Y50" s="6">
        <f>IF(AND(M50="纳入",ISNUMBER(T50)),1,0)</f>
        <v>0</v>
      </c>
      <c r="Z50" s="6">
        <f>IF(M50&lt;&gt;"纳入","",IF(VALUE(E50)=6,"",IF(VALUE(E50)=3,0.5,IF(OR(AND(VALUE(E50)&lt;3,P50=R50),AND(VALUE(E50)&gt;3,Q50=R50)),1,0))))</f>
        <v/>
      </c>
      <c r="AA50" s="6">
        <f>IF(M50&lt;&gt;"纳入","",IF(VALUE(F50)=6,"",IF(VALUE(F50)=3,0.5,IF(OR(AND(VALUE(F50)&lt;3,P50=R50),AND(VALUE(F50)&gt;3,Q50=R50)),1,0))))</f>
        <v/>
      </c>
      <c r="AB50" s="6">
        <f>IF(M50&lt;&gt;"纳入","",IF(VALUE(G50)=6,"",IF(VALUE(G50)=3,0.5,IF(OR(AND(VALUE(G50)&lt;3,P50=R50),AND(VALUE(G50)&gt;3,Q50=R50)),1,0))))</f>
        <v/>
      </c>
      <c r="AC50" s="6">
        <f>IF(M50&lt;&gt;"纳入","",IF(VALUE(H50)=6,"",IF(VALUE(H50)=3,0.5,IF(OR(AND(VALUE(H50)&lt;3,P50=R50),AND(VALUE(H50)&gt;3,Q50=R50)),1,0))))</f>
        <v/>
      </c>
      <c r="AD50" s="6">
        <f>IF(M50&lt;&gt;"纳入","",IF(VALUE(I50)=6,"",IF(VALUE(I50)=3,0.5,IF(OR(AND(VALUE(I50)&lt;3,P50=R50),AND(VALUE(I50)&gt;3,Q50=R50)),1,0))))</f>
        <v/>
      </c>
    </row>
    <row r="51" spans="1:30" ht="28" customHeight="1">
      <c r="A51" s="4" t="s">
        <v>106</v>
      </c>
      <c r="B51" s="4">
        <v>3</v>
      </c>
      <c r="C51" s="4" t="s">
        <v>80</v>
      </c>
      <c r="D51" s="5"/>
      <c r="E51" s="5"/>
      <c r="F51" s="5"/>
      <c r="G51" s="5"/>
      <c r="H51" s="5"/>
      <c r="I51" s="5"/>
      <c r="J51" s="5"/>
      <c r="K51" s="5"/>
      <c r="L51" s="6">
        <f>SUM(IFERROR(IF(AND(VALUE(D51)&gt;=1,VALUE(D51)&lt;=6,MOD(VALUE(D51),1)=0),1,0),0),IFERROR(IF(AND(VALUE(E51)&gt;=1,VALUE(E51)&lt;=6,MOD(VALUE(E51),1)=0),1,0),0),IFERROR(IF(AND(VALUE(F51)&gt;=1,VALUE(F51)&lt;=6,MOD(VALUE(F51),1)=0),1,0),0),IFERROR(IF(AND(VALUE(G51)&gt;=1,VALUE(G51)&lt;=6,MOD(VALUE(G51),1)=0),1,0),0),IFERROR(IF(AND(VALUE(H51)&gt;=1,VALUE(H51)&lt;=6,MOD(VALUE(H51),1)=0),1,0),0),IFERROR(IF(AND(VALUE(I51)&gt;=1,VALUE(I51)&lt;=6,MOD(VALUE(I51),1)=0),1,0),0))</f>
        <v>0</v>
      </c>
      <c r="M51" s="6" t="str">
        <f>'参与者登记'!K14</f>
        <v>待回收</v>
      </c>
      <c r="N51" s="4" t="s">
        <v>72</v>
      </c>
      <c r="O51" s="4" t="s">
        <v>77</v>
      </c>
      <c r="P51" s="4" t="s">
        <v>74</v>
      </c>
      <c r="Q51" s="4" t="s">
        <v>78</v>
      </c>
      <c r="R51" s="4" t="s">
        <v>74</v>
      </c>
      <c r="S51" s="4" t="s">
        <v>78</v>
      </c>
      <c r="T51" s="6">
        <f>IF(M51&lt;&gt;"纳入","",IF(VALUE(D51)=6,"",IF(VALUE(D51)=3,0.5,IF(OR(AND(VALUE(D51)&lt;3,P51=R51),AND(VALUE(D51)&gt;3,Q51=R51)),1,0))))</f>
        <v/>
      </c>
      <c r="U51" s="6">
        <f>IF(AND(M51="纳入",IFERROR(VALUE(D51),0)=6),1,0)</f>
        <v>0</v>
      </c>
      <c r="V51" s="6">
        <f>IF(AND(M51="纳入",IFERROR(VALUE(D51),0)=3),1,0)</f>
        <v>0</v>
      </c>
      <c r="W51" s="6">
        <f>IF(AND(M51="纳入",ISNUMBER(T51),T51=1),1,0)</f>
        <v>0</v>
      </c>
      <c r="X51" s="6">
        <f>IF(AND(M51="纳入",ISNUMBER(T51),T51=0),1,0)</f>
        <v>0</v>
      </c>
      <c r="Y51" s="6">
        <f>IF(AND(M51="纳入",ISNUMBER(T51)),1,0)</f>
        <v>0</v>
      </c>
      <c r="Z51" s="6">
        <f>IF(M51&lt;&gt;"纳入","",IF(VALUE(E51)=6,"",IF(VALUE(E51)=3,0.5,IF(OR(AND(VALUE(E51)&lt;3,P51=R51),AND(VALUE(E51)&gt;3,Q51=R51)),1,0))))</f>
        <v/>
      </c>
      <c r="AA51" s="6">
        <f>IF(M51&lt;&gt;"纳入","",IF(VALUE(F51)=6,"",IF(VALUE(F51)=3,0.5,IF(OR(AND(VALUE(F51)&lt;3,P51=R51),AND(VALUE(F51)&gt;3,Q51=R51)),1,0))))</f>
        <v/>
      </c>
      <c r="AB51" s="6">
        <f>IF(M51&lt;&gt;"纳入","",IF(VALUE(G51)=6,"",IF(VALUE(G51)=3,0.5,IF(OR(AND(VALUE(G51)&lt;3,P51=R51),AND(VALUE(G51)&gt;3,Q51=R51)),1,0))))</f>
        <v/>
      </c>
      <c r="AC51" s="6">
        <f>IF(M51&lt;&gt;"纳入","",IF(VALUE(H51)=6,"",IF(VALUE(H51)=3,0.5,IF(OR(AND(VALUE(H51)&lt;3,P51=R51),AND(VALUE(H51)&gt;3,Q51=R51)),1,0))))</f>
        <v/>
      </c>
      <c r="AD51" s="6">
        <f>IF(M51&lt;&gt;"纳入","",IF(VALUE(I51)=6,"",IF(VALUE(I51)=3,0.5,IF(OR(AND(VALUE(I51)&lt;3,P51=R51),AND(VALUE(I51)&gt;3,Q51=R51)),1,0))))</f>
        <v/>
      </c>
    </row>
    <row r="52" spans="1:30" ht="28" customHeight="1">
      <c r="A52" s="4" t="s">
        <v>106</v>
      </c>
      <c r="B52" s="4">
        <v>4</v>
      </c>
      <c r="C52" s="4" t="s">
        <v>85</v>
      </c>
      <c r="D52" s="5"/>
      <c r="E52" s="5"/>
      <c r="F52" s="5"/>
      <c r="G52" s="5"/>
      <c r="H52" s="5"/>
      <c r="I52" s="5"/>
      <c r="J52" s="5"/>
      <c r="K52" s="5"/>
      <c r="L52" s="6">
        <f>SUM(IFERROR(IF(AND(VALUE(D52)&gt;=1,VALUE(D52)&lt;=6,MOD(VALUE(D52),1)=0),1,0),0),IFERROR(IF(AND(VALUE(E52)&gt;=1,VALUE(E52)&lt;=6,MOD(VALUE(E52),1)=0),1,0),0),IFERROR(IF(AND(VALUE(F52)&gt;=1,VALUE(F52)&lt;=6,MOD(VALUE(F52),1)=0),1,0),0),IFERROR(IF(AND(VALUE(G52)&gt;=1,VALUE(G52)&lt;=6,MOD(VALUE(G52),1)=0),1,0),0),IFERROR(IF(AND(VALUE(H52)&gt;=1,VALUE(H52)&lt;=6,MOD(VALUE(H52),1)=0),1,0),0),IFERROR(IF(AND(VALUE(I52)&gt;=1,VALUE(I52)&lt;=6,MOD(VALUE(I52),1)=0),1,0),0))</f>
        <v>0</v>
      </c>
      <c r="M52" s="6" t="str">
        <f>'参与者登记'!K14</f>
        <v>待回收</v>
      </c>
      <c r="N52" s="4" t="s">
        <v>72</v>
      </c>
      <c r="O52" s="4" t="s">
        <v>77</v>
      </c>
      <c r="P52" s="4" t="s">
        <v>89</v>
      </c>
      <c r="Q52" s="4" t="s">
        <v>94</v>
      </c>
      <c r="R52" s="4" t="s">
        <v>94</v>
      </c>
      <c r="S52" s="4" t="s">
        <v>89</v>
      </c>
      <c r="T52" s="6">
        <f>IF(M52&lt;&gt;"纳入","",IF(VALUE(D52)=6,"",IF(VALUE(D52)=3,0.5,IF(OR(AND(VALUE(D52)&lt;3,P52=R52),AND(VALUE(D52)&gt;3,Q52=R52)),1,0))))</f>
        <v/>
      </c>
      <c r="U52" s="6">
        <f>IF(AND(M52="纳入",IFERROR(VALUE(D52),0)=6),1,0)</f>
        <v>0</v>
      </c>
      <c r="V52" s="6">
        <f>IF(AND(M52="纳入",IFERROR(VALUE(D52),0)=3),1,0)</f>
        <v>0</v>
      </c>
      <c r="W52" s="6">
        <f>IF(AND(M52="纳入",ISNUMBER(T52),T52=1),1,0)</f>
        <v>0</v>
      </c>
      <c r="X52" s="6">
        <f>IF(AND(M52="纳入",ISNUMBER(T52),T52=0),1,0)</f>
        <v>0</v>
      </c>
      <c r="Y52" s="6">
        <f>IF(AND(M52="纳入",ISNUMBER(T52)),1,0)</f>
        <v>0</v>
      </c>
      <c r="Z52" s="6">
        <f>IF(M52&lt;&gt;"纳入","",IF(VALUE(E52)=6,"",IF(VALUE(E52)=3,0.5,IF(OR(AND(VALUE(E52)&lt;3,P52=R52),AND(VALUE(E52)&gt;3,Q52=R52)),1,0))))</f>
        <v/>
      </c>
      <c r="AA52" s="6">
        <f>IF(M52&lt;&gt;"纳入","",IF(VALUE(F52)=6,"",IF(VALUE(F52)=3,0.5,IF(OR(AND(VALUE(F52)&lt;3,P52=R52),AND(VALUE(F52)&gt;3,Q52=R52)),1,0))))</f>
        <v/>
      </c>
      <c r="AB52" s="6">
        <f>IF(M52&lt;&gt;"纳入","",IF(VALUE(G52)=6,"",IF(VALUE(G52)=3,0.5,IF(OR(AND(VALUE(G52)&lt;3,P52=R52),AND(VALUE(G52)&gt;3,Q52=R52)),1,0))))</f>
        <v/>
      </c>
      <c r="AC52" s="6">
        <f>IF(M52&lt;&gt;"纳入","",IF(VALUE(H52)=6,"",IF(VALUE(H52)=3,0.5,IF(OR(AND(VALUE(H52)&lt;3,P52=R52),AND(VALUE(H52)&gt;3,Q52=R52)),1,0))))</f>
        <v/>
      </c>
      <c r="AD52" s="6">
        <f>IF(M52&lt;&gt;"纳入","",IF(VALUE(I52)=6,"",IF(VALUE(I52)=3,0.5,IF(OR(AND(VALUE(I52)&lt;3,P52=R52),AND(VALUE(I52)&gt;3,Q52=R52)),1,0))))</f>
        <v/>
      </c>
    </row>
    <row r="53" spans="1:30" ht="28" customHeight="1">
      <c r="A53" s="4" t="s">
        <v>106</v>
      </c>
      <c r="B53" s="4">
        <v>5</v>
      </c>
      <c r="C53" s="4" t="s">
        <v>88</v>
      </c>
      <c r="D53" s="5"/>
      <c r="E53" s="5"/>
      <c r="F53" s="5"/>
      <c r="G53" s="5"/>
      <c r="H53" s="5"/>
      <c r="I53" s="5"/>
      <c r="J53" s="5"/>
      <c r="K53" s="5"/>
      <c r="L53" s="6">
        <f>SUM(IFERROR(IF(AND(VALUE(D53)&gt;=1,VALUE(D53)&lt;=6,MOD(VALUE(D53),1)=0),1,0),0),IFERROR(IF(AND(VALUE(E53)&gt;=1,VALUE(E53)&lt;=6,MOD(VALUE(E53),1)=0),1,0),0),IFERROR(IF(AND(VALUE(F53)&gt;=1,VALUE(F53)&lt;=6,MOD(VALUE(F53),1)=0),1,0),0),IFERROR(IF(AND(VALUE(G53)&gt;=1,VALUE(G53)&lt;=6,MOD(VALUE(G53),1)=0),1,0),0),IFERROR(IF(AND(VALUE(H53)&gt;=1,VALUE(H53)&lt;=6,MOD(VALUE(H53),1)=0),1,0),0),IFERROR(IF(AND(VALUE(I53)&gt;=1,VALUE(I53)&lt;=6,MOD(VALUE(I53),1)=0),1,0),0))</f>
        <v>0</v>
      </c>
      <c r="M53" s="6" t="str">
        <f>'参与者登记'!K14</f>
        <v>待回收</v>
      </c>
      <c r="N53" s="4" t="s">
        <v>81</v>
      </c>
      <c r="O53" s="4" t="s">
        <v>82</v>
      </c>
      <c r="P53" s="4" t="s">
        <v>84</v>
      </c>
      <c r="Q53" s="4" t="s">
        <v>83</v>
      </c>
      <c r="R53" s="4" t="s">
        <v>83</v>
      </c>
      <c r="S53" s="4" t="s">
        <v>84</v>
      </c>
      <c r="T53" s="6">
        <f>IF(M53&lt;&gt;"纳入","",IF(VALUE(D53)=6,"",IF(VALUE(D53)=3,0.5,IF(OR(AND(VALUE(D53)&lt;3,P53=R53),AND(VALUE(D53)&gt;3,Q53=R53)),1,0))))</f>
        <v/>
      </c>
      <c r="U53" s="6">
        <f>IF(AND(M53="纳入",IFERROR(VALUE(D53),0)=6),1,0)</f>
        <v>0</v>
      </c>
      <c r="V53" s="6">
        <f>IF(AND(M53="纳入",IFERROR(VALUE(D53),0)=3),1,0)</f>
        <v>0</v>
      </c>
      <c r="W53" s="6">
        <f>IF(AND(M53="纳入",ISNUMBER(T53),T53=1),1,0)</f>
        <v>0</v>
      </c>
      <c r="X53" s="6">
        <f>IF(AND(M53="纳入",ISNUMBER(T53),T53=0),1,0)</f>
        <v>0</v>
      </c>
      <c r="Y53" s="6">
        <f>IF(AND(M53="纳入",ISNUMBER(T53)),1,0)</f>
        <v>0</v>
      </c>
      <c r="Z53" s="6">
        <f>IF(M53&lt;&gt;"纳入","",IF(VALUE(E53)=6,"",IF(VALUE(E53)=3,0.5,IF(OR(AND(VALUE(E53)&lt;3,P53=R53),AND(VALUE(E53)&gt;3,Q53=R53)),1,0))))</f>
        <v/>
      </c>
      <c r="AA53" s="6">
        <f>IF(M53&lt;&gt;"纳入","",IF(VALUE(F53)=6,"",IF(VALUE(F53)=3,0.5,IF(OR(AND(VALUE(F53)&lt;3,P53=R53),AND(VALUE(F53)&gt;3,Q53=R53)),1,0))))</f>
        <v/>
      </c>
      <c r="AB53" s="6">
        <f>IF(M53&lt;&gt;"纳入","",IF(VALUE(G53)=6,"",IF(VALUE(G53)=3,0.5,IF(OR(AND(VALUE(G53)&lt;3,P53=R53),AND(VALUE(G53)&gt;3,Q53=R53)),1,0))))</f>
        <v/>
      </c>
      <c r="AC53" s="6">
        <f>IF(M53&lt;&gt;"纳入","",IF(VALUE(H53)=6,"",IF(VALUE(H53)=3,0.5,IF(OR(AND(VALUE(H53)&lt;3,P53=R53),AND(VALUE(H53)&gt;3,Q53=R53)),1,0))))</f>
        <v/>
      </c>
      <c r="AD53" s="6">
        <f>IF(M53&lt;&gt;"纳入","",IF(VALUE(I53)=6,"",IF(VALUE(I53)=3,0.5,IF(OR(AND(VALUE(I53)&lt;3,P53=R53),AND(VALUE(I53)&gt;3,Q53=R53)),1,0))))</f>
        <v/>
      </c>
    </row>
    <row r="54" spans="1:30" ht="28" customHeight="1">
      <c r="A54" s="4" t="s">
        <v>106</v>
      </c>
      <c r="B54" s="4">
        <v>6</v>
      </c>
      <c r="C54" s="4" t="s">
        <v>90</v>
      </c>
      <c r="D54" s="5"/>
      <c r="E54" s="5"/>
      <c r="F54" s="5"/>
      <c r="G54" s="5"/>
      <c r="H54" s="5"/>
      <c r="I54" s="5"/>
      <c r="J54" s="5"/>
      <c r="K54" s="5"/>
      <c r="L54" s="6">
        <f>SUM(IFERROR(IF(AND(VALUE(D54)&gt;=1,VALUE(D54)&lt;=6,MOD(VALUE(D54),1)=0),1,0),0),IFERROR(IF(AND(VALUE(E54)&gt;=1,VALUE(E54)&lt;=6,MOD(VALUE(E54),1)=0),1,0),0),IFERROR(IF(AND(VALUE(F54)&gt;=1,VALUE(F54)&lt;=6,MOD(VALUE(F54),1)=0),1,0),0),IFERROR(IF(AND(VALUE(G54)&gt;=1,VALUE(G54)&lt;=6,MOD(VALUE(G54),1)=0),1,0),0),IFERROR(IF(AND(VALUE(H54)&gt;=1,VALUE(H54)&lt;=6,MOD(VALUE(H54),1)=0),1,0),0),IFERROR(IF(AND(VALUE(I54)&gt;=1,VALUE(I54)&lt;=6,MOD(VALUE(I54),1)=0),1,0),0))</f>
        <v>0</v>
      </c>
      <c r="M54" s="6" t="str">
        <f>'参与者登记'!K14</f>
        <v>待回收</v>
      </c>
      <c r="N54" s="4" t="s">
        <v>72</v>
      </c>
      <c r="O54" s="4" t="s">
        <v>86</v>
      </c>
      <c r="P54" s="4" t="s">
        <v>78</v>
      </c>
      <c r="Q54" s="4" t="s">
        <v>87</v>
      </c>
      <c r="R54" s="4" t="s">
        <v>78</v>
      </c>
      <c r="S54" s="4" t="s">
        <v>87</v>
      </c>
      <c r="T54" s="6">
        <f>IF(M54&lt;&gt;"纳入","",IF(VALUE(D54)=6,"",IF(VALUE(D54)=3,0.5,IF(OR(AND(VALUE(D54)&lt;3,P54=R54),AND(VALUE(D54)&gt;3,Q54=R54)),1,0))))</f>
        <v/>
      </c>
      <c r="U54" s="6">
        <f>IF(AND(M54="纳入",IFERROR(VALUE(D54),0)=6),1,0)</f>
        <v>0</v>
      </c>
      <c r="V54" s="6">
        <f>IF(AND(M54="纳入",IFERROR(VALUE(D54),0)=3),1,0)</f>
        <v>0</v>
      </c>
      <c r="W54" s="6">
        <f>IF(AND(M54="纳入",ISNUMBER(T54),T54=1),1,0)</f>
        <v>0</v>
      </c>
      <c r="X54" s="6">
        <f>IF(AND(M54="纳入",ISNUMBER(T54),T54=0),1,0)</f>
        <v>0</v>
      </c>
      <c r="Y54" s="6">
        <f>IF(AND(M54="纳入",ISNUMBER(T54)),1,0)</f>
        <v>0</v>
      </c>
      <c r="Z54" s="6">
        <f>IF(M54&lt;&gt;"纳入","",IF(VALUE(E54)=6,"",IF(VALUE(E54)=3,0.5,IF(OR(AND(VALUE(E54)&lt;3,P54=R54),AND(VALUE(E54)&gt;3,Q54=R54)),1,0))))</f>
        <v/>
      </c>
      <c r="AA54" s="6">
        <f>IF(M54&lt;&gt;"纳入","",IF(VALUE(F54)=6,"",IF(VALUE(F54)=3,0.5,IF(OR(AND(VALUE(F54)&lt;3,P54=R54),AND(VALUE(F54)&gt;3,Q54=R54)),1,0))))</f>
        <v/>
      </c>
      <c r="AB54" s="6">
        <f>IF(M54&lt;&gt;"纳入","",IF(VALUE(G54)=6,"",IF(VALUE(G54)=3,0.5,IF(OR(AND(VALUE(G54)&lt;3,P54=R54),AND(VALUE(G54)&gt;3,Q54=R54)),1,0))))</f>
        <v/>
      </c>
      <c r="AC54" s="6">
        <f>IF(M54&lt;&gt;"纳入","",IF(VALUE(H54)=6,"",IF(VALUE(H54)=3,0.5,IF(OR(AND(VALUE(H54)&lt;3,P54=R54),AND(VALUE(H54)&gt;3,Q54=R54)),1,0))))</f>
        <v/>
      </c>
      <c r="AD54" s="6">
        <f>IF(M54&lt;&gt;"纳入","",IF(VALUE(I54)=6,"",IF(VALUE(I54)=3,0.5,IF(OR(AND(VALUE(I54)&lt;3,P54=R54),AND(VALUE(I54)&gt;3,Q54=R54)),1,0))))</f>
        <v/>
      </c>
    </row>
    <row r="55" spans="1:30" ht="28" customHeight="1">
      <c r="A55" s="4" t="s">
        <v>107</v>
      </c>
      <c r="B55" s="4">
        <v>1</v>
      </c>
      <c r="C55" s="4" t="s">
        <v>71</v>
      </c>
      <c r="D55" s="5"/>
      <c r="E55" s="5"/>
      <c r="F55" s="5"/>
      <c r="G55" s="5"/>
      <c r="H55" s="5"/>
      <c r="I55" s="5"/>
      <c r="J55" s="5"/>
      <c r="K55" s="5"/>
      <c r="L55" s="6">
        <f>SUM(IFERROR(IF(AND(VALUE(D55)&gt;=1,VALUE(D55)&lt;=6,MOD(VALUE(D55),1)=0),1,0),0),IFERROR(IF(AND(VALUE(E55)&gt;=1,VALUE(E55)&lt;=6,MOD(VALUE(E55),1)=0),1,0),0),IFERROR(IF(AND(VALUE(F55)&gt;=1,VALUE(F55)&lt;=6,MOD(VALUE(F55),1)=0),1,0),0),IFERROR(IF(AND(VALUE(G55)&gt;=1,VALUE(G55)&lt;=6,MOD(VALUE(G55),1)=0),1,0),0),IFERROR(IF(AND(VALUE(H55)&gt;=1,VALUE(H55)&lt;=6,MOD(VALUE(H55),1)=0),1,0),0),IFERROR(IF(AND(VALUE(I55)&gt;=1,VALUE(I55)&lt;=6,MOD(VALUE(I55),1)=0),1,0),0))</f>
        <v>0</v>
      </c>
      <c r="M55" s="6" t="str">
        <f>'参与者登记'!K15</f>
        <v>待回收</v>
      </c>
      <c r="N55" s="4" t="s">
        <v>81</v>
      </c>
      <c r="O55" s="4" t="s">
        <v>108</v>
      </c>
      <c r="P55" s="4" t="s">
        <v>84</v>
      </c>
      <c r="Q55" s="4" t="s">
        <v>83</v>
      </c>
      <c r="R55" s="4" t="s">
        <v>83</v>
      </c>
      <c r="S55" s="4" t="s">
        <v>84</v>
      </c>
      <c r="T55" s="6">
        <f>IF(M55&lt;&gt;"纳入","",IF(VALUE(D55)=6,"",IF(VALUE(D55)=3,0.5,IF(OR(AND(VALUE(D55)&lt;3,P55=R55),AND(VALUE(D55)&gt;3,Q55=R55)),1,0))))</f>
        <v/>
      </c>
      <c r="U55" s="6">
        <f>IF(AND(M55="纳入",IFERROR(VALUE(D55),0)=6),1,0)</f>
        <v>0</v>
      </c>
      <c r="V55" s="6">
        <f>IF(AND(M55="纳入",IFERROR(VALUE(D55),0)=3),1,0)</f>
        <v>0</v>
      </c>
      <c r="W55" s="6">
        <f>IF(AND(M55="纳入",ISNUMBER(T55),T55=1),1,0)</f>
        <v>0</v>
      </c>
      <c r="X55" s="6">
        <f>IF(AND(M55="纳入",ISNUMBER(T55),T55=0),1,0)</f>
        <v>0</v>
      </c>
      <c r="Y55" s="6">
        <f>IF(AND(M55="纳入",ISNUMBER(T55)),1,0)</f>
        <v>0</v>
      </c>
      <c r="Z55" s="6">
        <f>IF(M55&lt;&gt;"纳入","",IF(VALUE(E55)=6,"",IF(VALUE(E55)=3,0.5,IF(OR(AND(VALUE(E55)&lt;3,P55=R55),AND(VALUE(E55)&gt;3,Q55=R55)),1,0))))</f>
        <v/>
      </c>
      <c r="AA55" s="6">
        <f>IF(M55&lt;&gt;"纳入","",IF(VALUE(F55)=6,"",IF(VALUE(F55)=3,0.5,IF(OR(AND(VALUE(F55)&lt;3,P55=R55),AND(VALUE(F55)&gt;3,Q55=R55)),1,0))))</f>
        <v/>
      </c>
      <c r="AB55" s="6">
        <f>IF(M55&lt;&gt;"纳入","",IF(VALUE(G55)=6,"",IF(VALUE(G55)=3,0.5,IF(OR(AND(VALUE(G55)&lt;3,P55=R55),AND(VALUE(G55)&gt;3,Q55=R55)),1,0))))</f>
        <v/>
      </c>
      <c r="AC55" s="6">
        <f>IF(M55&lt;&gt;"纳入","",IF(VALUE(H55)=6,"",IF(VALUE(H55)=3,0.5,IF(OR(AND(VALUE(H55)&lt;3,P55=R55),AND(VALUE(H55)&gt;3,Q55=R55)),1,0))))</f>
        <v/>
      </c>
      <c r="AD55" s="6">
        <f>IF(M55&lt;&gt;"纳入","",IF(VALUE(I55)=6,"",IF(VALUE(I55)=3,0.5,IF(OR(AND(VALUE(I55)&lt;3,P55=R55),AND(VALUE(I55)&gt;3,Q55=R55)),1,0))))</f>
        <v/>
      </c>
    </row>
    <row r="56" spans="1:30" ht="28" customHeight="1">
      <c r="A56" s="4" t="s">
        <v>107</v>
      </c>
      <c r="B56" s="4">
        <v>2</v>
      </c>
      <c r="C56" s="4" t="s">
        <v>76</v>
      </c>
      <c r="D56" s="5"/>
      <c r="E56" s="5"/>
      <c r="F56" s="5"/>
      <c r="G56" s="5"/>
      <c r="H56" s="5"/>
      <c r="I56" s="5"/>
      <c r="J56" s="5"/>
      <c r="K56" s="5"/>
      <c r="L56" s="6">
        <f>SUM(IFERROR(IF(AND(VALUE(D56)&gt;=1,VALUE(D56)&lt;=6,MOD(VALUE(D56),1)=0),1,0),0),IFERROR(IF(AND(VALUE(E56)&gt;=1,VALUE(E56)&lt;=6,MOD(VALUE(E56),1)=0),1,0),0),IFERROR(IF(AND(VALUE(F56)&gt;=1,VALUE(F56)&lt;=6,MOD(VALUE(F56),1)=0),1,0),0),IFERROR(IF(AND(VALUE(G56)&gt;=1,VALUE(G56)&lt;=6,MOD(VALUE(G56),1)=0),1,0),0),IFERROR(IF(AND(VALUE(H56)&gt;=1,VALUE(H56)&lt;=6,MOD(VALUE(H56),1)=0),1,0),0),IFERROR(IF(AND(VALUE(I56)&gt;=1,VALUE(I56)&lt;=6,MOD(VALUE(I56),1)=0),1,0),0))</f>
        <v>0</v>
      </c>
      <c r="M56" s="6" t="str">
        <f>'参与者登记'!K15</f>
        <v>待回收</v>
      </c>
      <c r="N56" s="4" t="s">
        <v>72</v>
      </c>
      <c r="O56" s="4" t="s">
        <v>77</v>
      </c>
      <c r="P56" s="4" t="s">
        <v>79</v>
      </c>
      <c r="Q56" s="4" t="s">
        <v>74</v>
      </c>
      <c r="R56" s="4" t="s">
        <v>74</v>
      </c>
      <c r="S56" s="4" t="s">
        <v>79</v>
      </c>
      <c r="T56" s="6">
        <f>IF(M56&lt;&gt;"纳入","",IF(VALUE(D56)=6,"",IF(VALUE(D56)=3,0.5,IF(OR(AND(VALUE(D56)&lt;3,P56=R56),AND(VALUE(D56)&gt;3,Q56=R56)),1,0))))</f>
        <v/>
      </c>
      <c r="U56" s="6">
        <f>IF(AND(M56="纳入",IFERROR(VALUE(D56),0)=6),1,0)</f>
        <v>0</v>
      </c>
      <c r="V56" s="6">
        <f>IF(AND(M56="纳入",IFERROR(VALUE(D56),0)=3),1,0)</f>
        <v>0</v>
      </c>
      <c r="W56" s="6">
        <f>IF(AND(M56="纳入",ISNUMBER(T56),T56=1),1,0)</f>
        <v>0</v>
      </c>
      <c r="X56" s="6">
        <f>IF(AND(M56="纳入",ISNUMBER(T56),T56=0),1,0)</f>
        <v>0</v>
      </c>
      <c r="Y56" s="6">
        <f>IF(AND(M56="纳入",ISNUMBER(T56)),1,0)</f>
        <v>0</v>
      </c>
      <c r="Z56" s="6">
        <f>IF(M56&lt;&gt;"纳入","",IF(VALUE(E56)=6,"",IF(VALUE(E56)=3,0.5,IF(OR(AND(VALUE(E56)&lt;3,P56=R56),AND(VALUE(E56)&gt;3,Q56=R56)),1,0))))</f>
        <v/>
      </c>
      <c r="AA56" s="6">
        <f>IF(M56&lt;&gt;"纳入","",IF(VALUE(F56)=6,"",IF(VALUE(F56)=3,0.5,IF(OR(AND(VALUE(F56)&lt;3,P56=R56),AND(VALUE(F56)&gt;3,Q56=R56)),1,0))))</f>
        <v/>
      </c>
      <c r="AB56" s="6">
        <f>IF(M56&lt;&gt;"纳入","",IF(VALUE(G56)=6,"",IF(VALUE(G56)=3,0.5,IF(OR(AND(VALUE(G56)&lt;3,P56=R56),AND(VALUE(G56)&gt;3,Q56=R56)),1,0))))</f>
        <v/>
      </c>
      <c r="AC56" s="6">
        <f>IF(M56&lt;&gt;"纳入","",IF(VALUE(H56)=6,"",IF(VALUE(H56)=3,0.5,IF(OR(AND(VALUE(H56)&lt;3,P56=R56),AND(VALUE(H56)&gt;3,Q56=R56)),1,0))))</f>
        <v/>
      </c>
      <c r="AD56" s="6">
        <f>IF(M56&lt;&gt;"纳入","",IF(VALUE(I56)=6,"",IF(VALUE(I56)=3,0.5,IF(OR(AND(VALUE(I56)&lt;3,P56=R56),AND(VALUE(I56)&gt;3,Q56=R56)),1,0))))</f>
        <v/>
      </c>
    </row>
    <row r="57" spans="1:30" ht="28" customHeight="1">
      <c r="A57" s="4" t="s">
        <v>107</v>
      </c>
      <c r="B57" s="4">
        <v>3</v>
      </c>
      <c r="C57" s="4" t="s">
        <v>80</v>
      </c>
      <c r="D57" s="5"/>
      <c r="E57" s="5"/>
      <c r="F57" s="5"/>
      <c r="G57" s="5"/>
      <c r="H57" s="5"/>
      <c r="I57" s="5"/>
      <c r="J57" s="5"/>
      <c r="K57" s="5"/>
      <c r="L57" s="6">
        <f>SUM(IFERROR(IF(AND(VALUE(D57)&gt;=1,VALUE(D57)&lt;=6,MOD(VALUE(D57),1)=0),1,0),0),IFERROR(IF(AND(VALUE(E57)&gt;=1,VALUE(E57)&lt;=6,MOD(VALUE(E57),1)=0),1,0),0),IFERROR(IF(AND(VALUE(F57)&gt;=1,VALUE(F57)&lt;=6,MOD(VALUE(F57),1)=0),1,0),0),IFERROR(IF(AND(VALUE(G57)&gt;=1,VALUE(G57)&lt;=6,MOD(VALUE(G57),1)=0),1,0),0),IFERROR(IF(AND(VALUE(H57)&gt;=1,VALUE(H57)&lt;=6,MOD(VALUE(H57),1)=0),1,0),0),IFERROR(IF(AND(VALUE(I57)&gt;=1,VALUE(I57)&lt;=6,MOD(VALUE(I57),1)=0),1,0),0))</f>
        <v>0</v>
      </c>
      <c r="M57" s="6" t="str">
        <f>'参与者登记'!K15</f>
        <v>待回收</v>
      </c>
      <c r="N57" s="4" t="s">
        <v>72</v>
      </c>
      <c r="O57" s="4" t="s">
        <v>73</v>
      </c>
      <c r="P57" s="4" t="s">
        <v>74</v>
      </c>
      <c r="Q57" s="4" t="s">
        <v>79</v>
      </c>
      <c r="R57" s="4" t="s">
        <v>74</v>
      </c>
      <c r="S57" s="4" t="s">
        <v>79</v>
      </c>
      <c r="T57" s="6">
        <f>IF(M57&lt;&gt;"纳入","",IF(VALUE(D57)=6,"",IF(VALUE(D57)=3,0.5,IF(OR(AND(VALUE(D57)&lt;3,P57=R57),AND(VALUE(D57)&gt;3,Q57=R57)),1,0))))</f>
        <v/>
      </c>
      <c r="U57" s="6">
        <f>IF(AND(M57="纳入",IFERROR(VALUE(D57),0)=6),1,0)</f>
        <v>0</v>
      </c>
      <c r="V57" s="6">
        <f>IF(AND(M57="纳入",IFERROR(VALUE(D57),0)=3),1,0)</f>
        <v>0</v>
      </c>
      <c r="W57" s="6">
        <f>IF(AND(M57="纳入",ISNUMBER(T57),T57=1),1,0)</f>
        <v>0</v>
      </c>
      <c r="X57" s="6">
        <f>IF(AND(M57="纳入",ISNUMBER(T57),T57=0),1,0)</f>
        <v>0</v>
      </c>
      <c r="Y57" s="6">
        <f>IF(AND(M57="纳入",ISNUMBER(T57)),1,0)</f>
        <v>0</v>
      </c>
      <c r="Z57" s="6">
        <f>IF(M57&lt;&gt;"纳入","",IF(VALUE(E57)=6,"",IF(VALUE(E57)=3,0.5,IF(OR(AND(VALUE(E57)&lt;3,P57=R57),AND(VALUE(E57)&gt;3,Q57=R57)),1,0))))</f>
        <v/>
      </c>
      <c r="AA57" s="6">
        <f>IF(M57&lt;&gt;"纳入","",IF(VALUE(F57)=6,"",IF(VALUE(F57)=3,0.5,IF(OR(AND(VALUE(F57)&lt;3,P57=R57),AND(VALUE(F57)&gt;3,Q57=R57)),1,0))))</f>
        <v/>
      </c>
      <c r="AB57" s="6">
        <f>IF(M57&lt;&gt;"纳入","",IF(VALUE(G57)=6,"",IF(VALUE(G57)=3,0.5,IF(OR(AND(VALUE(G57)&lt;3,P57=R57),AND(VALUE(G57)&gt;3,Q57=R57)),1,0))))</f>
        <v/>
      </c>
      <c r="AC57" s="6">
        <f>IF(M57&lt;&gt;"纳入","",IF(VALUE(H57)=6,"",IF(VALUE(H57)=3,0.5,IF(OR(AND(VALUE(H57)&lt;3,P57=R57),AND(VALUE(H57)&gt;3,Q57=R57)),1,0))))</f>
        <v/>
      </c>
      <c r="AD57" s="6">
        <f>IF(M57&lt;&gt;"纳入","",IF(VALUE(I57)=6,"",IF(VALUE(I57)=3,0.5,IF(OR(AND(VALUE(I57)&lt;3,P57=R57),AND(VALUE(I57)&gt;3,Q57=R57)),1,0))))</f>
        <v/>
      </c>
    </row>
    <row r="58" spans="1:30" ht="28" customHeight="1">
      <c r="A58" s="4" t="s">
        <v>107</v>
      </c>
      <c r="B58" s="4">
        <v>4</v>
      </c>
      <c r="C58" s="4" t="s">
        <v>85</v>
      </c>
      <c r="D58" s="5"/>
      <c r="E58" s="5"/>
      <c r="F58" s="5"/>
      <c r="G58" s="5"/>
      <c r="H58" s="5"/>
      <c r="I58" s="5"/>
      <c r="J58" s="5"/>
      <c r="K58" s="5"/>
      <c r="L58" s="6">
        <f>SUM(IFERROR(IF(AND(VALUE(D58)&gt;=1,VALUE(D58)&lt;=6,MOD(VALUE(D58),1)=0),1,0),0),IFERROR(IF(AND(VALUE(E58)&gt;=1,VALUE(E58)&lt;=6,MOD(VALUE(E58),1)=0),1,0),0),IFERROR(IF(AND(VALUE(F58)&gt;=1,VALUE(F58)&lt;=6,MOD(VALUE(F58),1)=0),1,0),0),IFERROR(IF(AND(VALUE(G58)&gt;=1,VALUE(G58)&lt;=6,MOD(VALUE(G58),1)=0),1,0),0),IFERROR(IF(AND(VALUE(H58)&gt;=1,VALUE(H58)&lt;=6,MOD(VALUE(H58),1)=0),1,0),0),IFERROR(IF(AND(VALUE(I58)&gt;=1,VALUE(I58)&lt;=6,MOD(VALUE(I58),1)=0),1,0),0))</f>
        <v>0</v>
      </c>
      <c r="M58" s="6" t="str">
        <f>'参与者登记'!K15</f>
        <v>待回收</v>
      </c>
      <c r="N58" s="4" t="s">
        <v>81</v>
      </c>
      <c r="O58" s="4" t="s">
        <v>95</v>
      </c>
      <c r="P58" s="4" t="s">
        <v>83</v>
      </c>
      <c r="Q58" s="4" t="s">
        <v>84</v>
      </c>
      <c r="R58" s="4" t="s">
        <v>83</v>
      </c>
      <c r="S58" s="4" t="s">
        <v>84</v>
      </c>
      <c r="T58" s="6">
        <f>IF(M58&lt;&gt;"纳入","",IF(VALUE(D58)=6,"",IF(VALUE(D58)=3,0.5,IF(OR(AND(VALUE(D58)&lt;3,P58=R58),AND(VALUE(D58)&gt;3,Q58=R58)),1,0))))</f>
        <v/>
      </c>
      <c r="U58" s="6">
        <f>IF(AND(M58="纳入",IFERROR(VALUE(D58),0)=6),1,0)</f>
        <v>0</v>
      </c>
      <c r="V58" s="6">
        <f>IF(AND(M58="纳入",IFERROR(VALUE(D58),0)=3),1,0)</f>
        <v>0</v>
      </c>
      <c r="W58" s="6">
        <f>IF(AND(M58="纳入",ISNUMBER(T58),T58=1),1,0)</f>
        <v>0</v>
      </c>
      <c r="X58" s="6">
        <f>IF(AND(M58="纳入",ISNUMBER(T58),T58=0),1,0)</f>
        <v>0</v>
      </c>
      <c r="Y58" s="6">
        <f>IF(AND(M58="纳入",ISNUMBER(T58)),1,0)</f>
        <v>0</v>
      </c>
      <c r="Z58" s="6">
        <f>IF(M58&lt;&gt;"纳入","",IF(VALUE(E58)=6,"",IF(VALUE(E58)=3,0.5,IF(OR(AND(VALUE(E58)&lt;3,P58=R58),AND(VALUE(E58)&gt;3,Q58=R58)),1,0))))</f>
        <v/>
      </c>
      <c r="AA58" s="6">
        <f>IF(M58&lt;&gt;"纳入","",IF(VALUE(F58)=6,"",IF(VALUE(F58)=3,0.5,IF(OR(AND(VALUE(F58)&lt;3,P58=R58),AND(VALUE(F58)&gt;3,Q58=R58)),1,0))))</f>
        <v/>
      </c>
      <c r="AB58" s="6">
        <f>IF(M58&lt;&gt;"纳入","",IF(VALUE(G58)=6,"",IF(VALUE(G58)=3,0.5,IF(OR(AND(VALUE(G58)&lt;3,P58=R58),AND(VALUE(G58)&gt;3,Q58=R58)),1,0))))</f>
        <v/>
      </c>
      <c r="AC58" s="6">
        <f>IF(M58&lt;&gt;"纳入","",IF(VALUE(H58)=6,"",IF(VALUE(H58)=3,0.5,IF(OR(AND(VALUE(H58)&lt;3,P58=R58),AND(VALUE(H58)&gt;3,Q58=R58)),1,0))))</f>
        <v/>
      </c>
      <c r="AD58" s="6">
        <f>IF(M58&lt;&gt;"纳入","",IF(VALUE(I58)=6,"",IF(VALUE(I58)=3,0.5,IF(OR(AND(VALUE(I58)&lt;3,P58=R58),AND(VALUE(I58)&gt;3,Q58=R58)),1,0))))</f>
        <v/>
      </c>
    </row>
    <row r="59" spans="1:30" ht="28" customHeight="1">
      <c r="A59" s="4" t="s">
        <v>107</v>
      </c>
      <c r="B59" s="4">
        <v>5</v>
      </c>
      <c r="C59" s="4" t="s">
        <v>88</v>
      </c>
      <c r="D59" s="5"/>
      <c r="E59" s="5"/>
      <c r="F59" s="5"/>
      <c r="G59" s="5"/>
      <c r="H59" s="5"/>
      <c r="I59" s="5"/>
      <c r="J59" s="5"/>
      <c r="K59" s="5"/>
      <c r="L59" s="6">
        <f>SUM(IFERROR(IF(AND(VALUE(D59)&gt;=1,VALUE(D59)&lt;=6,MOD(VALUE(D59),1)=0),1,0),0),IFERROR(IF(AND(VALUE(E59)&gt;=1,VALUE(E59)&lt;=6,MOD(VALUE(E59),1)=0),1,0),0),IFERROR(IF(AND(VALUE(F59)&gt;=1,VALUE(F59)&lt;=6,MOD(VALUE(F59),1)=0),1,0),0),IFERROR(IF(AND(VALUE(G59)&gt;=1,VALUE(G59)&lt;=6,MOD(VALUE(G59),1)=0),1,0),0),IFERROR(IF(AND(VALUE(H59)&gt;=1,VALUE(H59)&lt;=6,MOD(VALUE(H59),1)=0),1,0),0),IFERROR(IF(AND(VALUE(I59)&gt;=1,VALUE(I59)&lt;=6,MOD(VALUE(I59),1)=0),1,0),0))</f>
        <v>0</v>
      </c>
      <c r="M59" s="6" t="str">
        <f>'参与者登记'!K15</f>
        <v>待回收</v>
      </c>
      <c r="N59" s="4" t="s">
        <v>72</v>
      </c>
      <c r="O59" s="4" t="s">
        <v>77</v>
      </c>
      <c r="P59" s="4" t="s">
        <v>94</v>
      </c>
      <c r="Q59" s="4" t="s">
        <v>75</v>
      </c>
      <c r="R59" s="4" t="s">
        <v>94</v>
      </c>
      <c r="S59" s="4" t="s">
        <v>75</v>
      </c>
      <c r="T59" s="6">
        <f>IF(M59&lt;&gt;"纳入","",IF(VALUE(D59)=6,"",IF(VALUE(D59)=3,0.5,IF(OR(AND(VALUE(D59)&lt;3,P59=R59),AND(VALUE(D59)&gt;3,Q59=R59)),1,0))))</f>
        <v/>
      </c>
      <c r="U59" s="6">
        <f>IF(AND(M59="纳入",IFERROR(VALUE(D59),0)=6),1,0)</f>
        <v>0</v>
      </c>
      <c r="V59" s="6">
        <f>IF(AND(M59="纳入",IFERROR(VALUE(D59),0)=3),1,0)</f>
        <v>0</v>
      </c>
      <c r="W59" s="6">
        <f>IF(AND(M59="纳入",ISNUMBER(T59),T59=1),1,0)</f>
        <v>0</v>
      </c>
      <c r="X59" s="6">
        <f>IF(AND(M59="纳入",ISNUMBER(T59),T59=0),1,0)</f>
        <v>0</v>
      </c>
      <c r="Y59" s="6">
        <f>IF(AND(M59="纳入",ISNUMBER(T59)),1,0)</f>
        <v>0</v>
      </c>
      <c r="Z59" s="6">
        <f>IF(M59&lt;&gt;"纳入","",IF(VALUE(E59)=6,"",IF(VALUE(E59)=3,0.5,IF(OR(AND(VALUE(E59)&lt;3,P59=R59),AND(VALUE(E59)&gt;3,Q59=R59)),1,0))))</f>
        <v/>
      </c>
      <c r="AA59" s="6">
        <f>IF(M59&lt;&gt;"纳入","",IF(VALUE(F59)=6,"",IF(VALUE(F59)=3,0.5,IF(OR(AND(VALUE(F59)&lt;3,P59=R59),AND(VALUE(F59)&gt;3,Q59=R59)),1,0))))</f>
        <v/>
      </c>
      <c r="AB59" s="6">
        <f>IF(M59&lt;&gt;"纳入","",IF(VALUE(G59)=6,"",IF(VALUE(G59)=3,0.5,IF(OR(AND(VALUE(G59)&lt;3,P59=R59),AND(VALUE(G59)&gt;3,Q59=R59)),1,0))))</f>
        <v/>
      </c>
      <c r="AC59" s="6">
        <f>IF(M59&lt;&gt;"纳入","",IF(VALUE(H59)=6,"",IF(VALUE(H59)=3,0.5,IF(OR(AND(VALUE(H59)&lt;3,P59=R59),AND(VALUE(H59)&gt;3,Q59=R59)),1,0))))</f>
        <v/>
      </c>
      <c r="AD59" s="6">
        <f>IF(M59&lt;&gt;"纳入","",IF(VALUE(I59)=6,"",IF(VALUE(I59)=3,0.5,IF(OR(AND(VALUE(I59)&lt;3,P59=R59),AND(VALUE(I59)&gt;3,Q59=R59)),1,0))))</f>
        <v/>
      </c>
    </row>
    <row r="60" spans="1:30" ht="28" customHeight="1">
      <c r="A60" s="4" t="s">
        <v>107</v>
      </c>
      <c r="B60" s="4">
        <v>6</v>
      </c>
      <c r="C60" s="4" t="s">
        <v>90</v>
      </c>
      <c r="D60" s="5"/>
      <c r="E60" s="5"/>
      <c r="F60" s="5"/>
      <c r="G60" s="5"/>
      <c r="H60" s="5"/>
      <c r="I60" s="5"/>
      <c r="J60" s="5"/>
      <c r="K60" s="5"/>
      <c r="L60" s="6">
        <f>SUM(IFERROR(IF(AND(VALUE(D60)&gt;=1,VALUE(D60)&lt;=6,MOD(VALUE(D60),1)=0),1,0),0),IFERROR(IF(AND(VALUE(E60)&gt;=1,VALUE(E60)&lt;=6,MOD(VALUE(E60),1)=0),1,0),0),IFERROR(IF(AND(VALUE(F60)&gt;=1,VALUE(F60)&lt;=6,MOD(VALUE(F60),1)=0),1,0),0),IFERROR(IF(AND(VALUE(G60)&gt;=1,VALUE(G60)&lt;=6,MOD(VALUE(G60),1)=0),1,0),0),IFERROR(IF(AND(VALUE(H60)&gt;=1,VALUE(H60)&lt;=6,MOD(VALUE(H60),1)=0),1,0),0),IFERROR(IF(AND(VALUE(I60)&gt;=1,VALUE(I60)&lt;=6,MOD(VALUE(I60),1)=0),1,0),0))</f>
        <v>0</v>
      </c>
      <c r="M60" s="6" t="str">
        <f>'参与者登记'!K15</f>
        <v>待回收</v>
      </c>
      <c r="N60" s="4" t="s">
        <v>72</v>
      </c>
      <c r="O60" s="4" t="s">
        <v>86</v>
      </c>
      <c r="P60" s="4" t="s">
        <v>75</v>
      </c>
      <c r="Q60" s="4" t="s">
        <v>79</v>
      </c>
      <c r="R60" s="4" t="s">
        <v>79</v>
      </c>
      <c r="S60" s="4" t="s">
        <v>75</v>
      </c>
      <c r="T60" s="6">
        <f>IF(M60&lt;&gt;"纳入","",IF(VALUE(D60)=6,"",IF(VALUE(D60)=3,0.5,IF(OR(AND(VALUE(D60)&lt;3,P60=R60),AND(VALUE(D60)&gt;3,Q60=R60)),1,0))))</f>
        <v/>
      </c>
      <c r="U60" s="6">
        <f>IF(AND(M60="纳入",IFERROR(VALUE(D60),0)=6),1,0)</f>
        <v>0</v>
      </c>
      <c r="V60" s="6">
        <f>IF(AND(M60="纳入",IFERROR(VALUE(D60),0)=3),1,0)</f>
        <v>0</v>
      </c>
      <c r="W60" s="6">
        <f>IF(AND(M60="纳入",ISNUMBER(T60),T60=1),1,0)</f>
        <v>0</v>
      </c>
      <c r="X60" s="6">
        <f>IF(AND(M60="纳入",ISNUMBER(T60),T60=0),1,0)</f>
        <v>0</v>
      </c>
      <c r="Y60" s="6">
        <f>IF(AND(M60="纳入",ISNUMBER(T60)),1,0)</f>
        <v>0</v>
      </c>
      <c r="Z60" s="6">
        <f>IF(M60&lt;&gt;"纳入","",IF(VALUE(E60)=6,"",IF(VALUE(E60)=3,0.5,IF(OR(AND(VALUE(E60)&lt;3,P60=R60),AND(VALUE(E60)&gt;3,Q60=R60)),1,0))))</f>
        <v/>
      </c>
      <c r="AA60" s="6">
        <f>IF(M60&lt;&gt;"纳入","",IF(VALUE(F60)=6,"",IF(VALUE(F60)=3,0.5,IF(OR(AND(VALUE(F60)&lt;3,P60=R60),AND(VALUE(F60)&gt;3,Q60=R60)),1,0))))</f>
        <v/>
      </c>
      <c r="AB60" s="6">
        <f>IF(M60&lt;&gt;"纳入","",IF(VALUE(G60)=6,"",IF(VALUE(G60)=3,0.5,IF(OR(AND(VALUE(G60)&lt;3,P60=R60),AND(VALUE(G60)&gt;3,Q60=R60)),1,0))))</f>
        <v/>
      </c>
      <c r="AC60" s="6">
        <f>IF(M60&lt;&gt;"纳入","",IF(VALUE(H60)=6,"",IF(VALUE(H60)=3,0.5,IF(OR(AND(VALUE(H60)&lt;3,P60=R60),AND(VALUE(H60)&gt;3,Q60=R60)),1,0))))</f>
        <v/>
      </c>
      <c r="AD60" s="6">
        <f>IF(M60&lt;&gt;"纳入","",IF(VALUE(I60)=6,"",IF(VALUE(I60)=3,0.5,IF(OR(AND(VALUE(I60)&lt;3,P60=R60),AND(VALUE(I60)&gt;3,Q60=R60)),1,0))))</f>
        <v/>
      </c>
    </row>
    <row r="61" spans="1:30" ht="28" customHeight="1">
      <c r="A61" s="4" t="s">
        <v>109</v>
      </c>
      <c r="B61" s="4">
        <v>1</v>
      </c>
      <c r="C61" s="4" t="s">
        <v>71</v>
      </c>
      <c r="D61" s="5"/>
      <c r="E61" s="5"/>
      <c r="F61" s="5"/>
      <c r="G61" s="5"/>
      <c r="H61" s="5"/>
      <c r="I61" s="5"/>
      <c r="J61" s="5"/>
      <c r="K61" s="5"/>
      <c r="L61" s="6">
        <f>SUM(IFERROR(IF(AND(VALUE(D61)&gt;=1,VALUE(D61)&lt;=6,MOD(VALUE(D61),1)=0),1,0),0),IFERROR(IF(AND(VALUE(E61)&gt;=1,VALUE(E61)&lt;=6,MOD(VALUE(E61),1)=0),1,0),0),IFERROR(IF(AND(VALUE(F61)&gt;=1,VALUE(F61)&lt;=6,MOD(VALUE(F61),1)=0),1,0),0),IFERROR(IF(AND(VALUE(G61)&gt;=1,VALUE(G61)&lt;=6,MOD(VALUE(G61),1)=0),1,0),0),IFERROR(IF(AND(VALUE(H61)&gt;=1,VALUE(H61)&lt;=6,MOD(VALUE(H61),1)=0),1,0),0),IFERROR(IF(AND(VALUE(I61)&gt;=1,VALUE(I61)&lt;=6,MOD(VALUE(I61),1)=0),1,0),0))</f>
        <v>0</v>
      </c>
      <c r="M61" s="6" t="str">
        <f>'参与者登记'!K16</f>
        <v>待回收</v>
      </c>
      <c r="N61" s="4" t="s">
        <v>72</v>
      </c>
      <c r="O61" s="4" t="s">
        <v>77</v>
      </c>
      <c r="P61" s="4" t="s">
        <v>89</v>
      </c>
      <c r="Q61" s="4" t="s">
        <v>75</v>
      </c>
      <c r="R61" s="4" t="s">
        <v>75</v>
      </c>
      <c r="S61" s="4" t="s">
        <v>89</v>
      </c>
      <c r="T61" s="6">
        <f>IF(M61&lt;&gt;"纳入","",IF(VALUE(D61)=6,"",IF(VALUE(D61)=3,0.5,IF(OR(AND(VALUE(D61)&lt;3,P61=R61),AND(VALUE(D61)&gt;3,Q61=R61)),1,0))))</f>
        <v/>
      </c>
      <c r="U61" s="6">
        <f>IF(AND(M61="纳入",IFERROR(VALUE(D61),0)=6),1,0)</f>
        <v>0</v>
      </c>
      <c r="V61" s="6">
        <f>IF(AND(M61="纳入",IFERROR(VALUE(D61),0)=3),1,0)</f>
        <v>0</v>
      </c>
      <c r="W61" s="6">
        <f>IF(AND(M61="纳入",ISNUMBER(T61),T61=1),1,0)</f>
        <v>0</v>
      </c>
      <c r="X61" s="6">
        <f>IF(AND(M61="纳入",ISNUMBER(T61),T61=0),1,0)</f>
        <v>0</v>
      </c>
      <c r="Y61" s="6">
        <f>IF(AND(M61="纳入",ISNUMBER(T61)),1,0)</f>
        <v>0</v>
      </c>
      <c r="Z61" s="6">
        <f>IF(M61&lt;&gt;"纳入","",IF(VALUE(E61)=6,"",IF(VALUE(E61)=3,0.5,IF(OR(AND(VALUE(E61)&lt;3,P61=R61),AND(VALUE(E61)&gt;3,Q61=R61)),1,0))))</f>
        <v/>
      </c>
      <c r="AA61" s="6">
        <f>IF(M61&lt;&gt;"纳入","",IF(VALUE(F61)=6,"",IF(VALUE(F61)=3,0.5,IF(OR(AND(VALUE(F61)&lt;3,P61=R61),AND(VALUE(F61)&gt;3,Q61=R61)),1,0))))</f>
        <v/>
      </c>
      <c r="AB61" s="6">
        <f>IF(M61&lt;&gt;"纳入","",IF(VALUE(G61)=6,"",IF(VALUE(G61)=3,0.5,IF(OR(AND(VALUE(G61)&lt;3,P61=R61),AND(VALUE(G61)&gt;3,Q61=R61)),1,0))))</f>
        <v/>
      </c>
      <c r="AC61" s="6">
        <f>IF(M61&lt;&gt;"纳入","",IF(VALUE(H61)=6,"",IF(VALUE(H61)=3,0.5,IF(OR(AND(VALUE(H61)&lt;3,P61=R61),AND(VALUE(H61)&gt;3,Q61=R61)),1,0))))</f>
        <v/>
      </c>
      <c r="AD61" s="6">
        <f>IF(M61&lt;&gt;"纳入","",IF(VALUE(I61)=6,"",IF(VALUE(I61)=3,0.5,IF(OR(AND(VALUE(I61)&lt;3,P61=R61),AND(VALUE(I61)&gt;3,Q61=R61)),1,0))))</f>
        <v/>
      </c>
    </row>
    <row r="62" spans="1:30" ht="28" customHeight="1">
      <c r="A62" s="4" t="s">
        <v>109</v>
      </c>
      <c r="B62" s="4">
        <v>2</v>
      </c>
      <c r="C62" s="4" t="s">
        <v>76</v>
      </c>
      <c r="D62" s="5"/>
      <c r="E62" s="5"/>
      <c r="F62" s="5"/>
      <c r="G62" s="5"/>
      <c r="H62" s="5"/>
      <c r="I62" s="5"/>
      <c r="J62" s="5"/>
      <c r="K62" s="5"/>
      <c r="L62" s="6">
        <f>SUM(IFERROR(IF(AND(VALUE(D62)&gt;=1,VALUE(D62)&lt;=6,MOD(VALUE(D62),1)=0),1,0),0),IFERROR(IF(AND(VALUE(E62)&gt;=1,VALUE(E62)&lt;=6,MOD(VALUE(E62),1)=0),1,0),0),IFERROR(IF(AND(VALUE(F62)&gt;=1,VALUE(F62)&lt;=6,MOD(VALUE(F62),1)=0),1,0),0),IFERROR(IF(AND(VALUE(G62)&gt;=1,VALUE(G62)&lt;=6,MOD(VALUE(G62),1)=0),1,0),0),IFERROR(IF(AND(VALUE(H62)&gt;=1,VALUE(H62)&lt;=6,MOD(VALUE(H62),1)=0),1,0),0),IFERROR(IF(AND(VALUE(I62)&gt;=1,VALUE(I62)&lt;=6,MOD(VALUE(I62),1)=0),1,0),0))</f>
        <v>0</v>
      </c>
      <c r="M62" s="6" t="str">
        <f>'参与者登记'!K16</f>
        <v>待回收</v>
      </c>
      <c r="N62" s="4" t="s">
        <v>72</v>
      </c>
      <c r="O62" s="4" t="s">
        <v>73</v>
      </c>
      <c r="P62" s="4" t="s">
        <v>87</v>
      </c>
      <c r="Q62" s="4" t="s">
        <v>74</v>
      </c>
      <c r="R62" s="4" t="s">
        <v>74</v>
      </c>
      <c r="S62" s="4" t="s">
        <v>87</v>
      </c>
      <c r="T62" s="6">
        <f>IF(M62&lt;&gt;"纳入","",IF(VALUE(D62)=6,"",IF(VALUE(D62)=3,0.5,IF(OR(AND(VALUE(D62)&lt;3,P62=R62),AND(VALUE(D62)&gt;3,Q62=R62)),1,0))))</f>
        <v/>
      </c>
      <c r="U62" s="6">
        <f>IF(AND(M62="纳入",IFERROR(VALUE(D62),0)=6),1,0)</f>
        <v>0</v>
      </c>
      <c r="V62" s="6">
        <f>IF(AND(M62="纳入",IFERROR(VALUE(D62),0)=3),1,0)</f>
        <v>0</v>
      </c>
      <c r="W62" s="6">
        <f>IF(AND(M62="纳入",ISNUMBER(T62),T62=1),1,0)</f>
        <v>0</v>
      </c>
      <c r="X62" s="6">
        <f>IF(AND(M62="纳入",ISNUMBER(T62),T62=0),1,0)</f>
        <v>0</v>
      </c>
      <c r="Y62" s="6">
        <f>IF(AND(M62="纳入",ISNUMBER(T62)),1,0)</f>
        <v>0</v>
      </c>
      <c r="Z62" s="6">
        <f>IF(M62&lt;&gt;"纳入","",IF(VALUE(E62)=6,"",IF(VALUE(E62)=3,0.5,IF(OR(AND(VALUE(E62)&lt;3,P62=R62),AND(VALUE(E62)&gt;3,Q62=R62)),1,0))))</f>
        <v/>
      </c>
      <c r="AA62" s="6">
        <f>IF(M62&lt;&gt;"纳入","",IF(VALUE(F62)=6,"",IF(VALUE(F62)=3,0.5,IF(OR(AND(VALUE(F62)&lt;3,P62=R62),AND(VALUE(F62)&gt;3,Q62=R62)),1,0))))</f>
        <v/>
      </c>
      <c r="AB62" s="6">
        <f>IF(M62&lt;&gt;"纳入","",IF(VALUE(G62)=6,"",IF(VALUE(G62)=3,0.5,IF(OR(AND(VALUE(G62)&lt;3,P62=R62),AND(VALUE(G62)&gt;3,Q62=R62)),1,0))))</f>
        <v/>
      </c>
      <c r="AC62" s="6">
        <f>IF(M62&lt;&gt;"纳入","",IF(VALUE(H62)=6,"",IF(VALUE(H62)=3,0.5,IF(OR(AND(VALUE(H62)&lt;3,P62=R62),AND(VALUE(H62)&gt;3,Q62=R62)),1,0))))</f>
        <v/>
      </c>
      <c r="AD62" s="6">
        <f>IF(M62&lt;&gt;"纳入","",IF(VALUE(I62)=6,"",IF(VALUE(I62)=3,0.5,IF(OR(AND(VALUE(I62)&lt;3,P62=R62),AND(VALUE(I62)&gt;3,Q62=R62)),1,0))))</f>
        <v/>
      </c>
    </row>
    <row r="63" spans="1:30" ht="28" customHeight="1">
      <c r="A63" s="4" t="s">
        <v>109</v>
      </c>
      <c r="B63" s="4">
        <v>3</v>
      </c>
      <c r="C63" s="4" t="s">
        <v>80</v>
      </c>
      <c r="D63" s="5"/>
      <c r="E63" s="5"/>
      <c r="F63" s="5"/>
      <c r="G63" s="5"/>
      <c r="H63" s="5"/>
      <c r="I63" s="5"/>
      <c r="J63" s="5"/>
      <c r="K63" s="5"/>
      <c r="L63" s="6">
        <f>SUM(IFERROR(IF(AND(VALUE(D63)&gt;=1,VALUE(D63)&lt;=6,MOD(VALUE(D63),1)=0),1,0),0),IFERROR(IF(AND(VALUE(E63)&gt;=1,VALUE(E63)&lt;=6,MOD(VALUE(E63),1)=0),1,0),0),IFERROR(IF(AND(VALUE(F63)&gt;=1,VALUE(F63)&lt;=6,MOD(VALUE(F63),1)=0),1,0),0),IFERROR(IF(AND(VALUE(G63)&gt;=1,VALUE(G63)&lt;=6,MOD(VALUE(G63),1)=0),1,0),0),IFERROR(IF(AND(VALUE(H63)&gt;=1,VALUE(H63)&lt;=6,MOD(VALUE(H63),1)=0),1,0),0),IFERROR(IF(AND(VALUE(I63)&gt;=1,VALUE(I63)&lt;=6,MOD(VALUE(I63),1)=0),1,0),0))</f>
        <v>0</v>
      </c>
      <c r="M63" s="6" t="str">
        <f>'参与者登记'!K16</f>
        <v>待回收</v>
      </c>
      <c r="N63" s="4" t="s">
        <v>81</v>
      </c>
      <c r="O63" s="4" t="s">
        <v>93</v>
      </c>
      <c r="P63" s="4" t="s">
        <v>84</v>
      </c>
      <c r="Q63" s="4" t="s">
        <v>83</v>
      </c>
      <c r="R63" s="4" t="s">
        <v>83</v>
      </c>
      <c r="S63" s="4" t="s">
        <v>84</v>
      </c>
      <c r="T63" s="6">
        <f>IF(M63&lt;&gt;"纳入","",IF(VALUE(D63)=6,"",IF(VALUE(D63)=3,0.5,IF(OR(AND(VALUE(D63)&lt;3,P63=R63),AND(VALUE(D63)&gt;3,Q63=R63)),1,0))))</f>
        <v/>
      </c>
      <c r="U63" s="6">
        <f>IF(AND(M63="纳入",IFERROR(VALUE(D63),0)=6),1,0)</f>
        <v>0</v>
      </c>
      <c r="V63" s="6">
        <f>IF(AND(M63="纳入",IFERROR(VALUE(D63),0)=3),1,0)</f>
        <v>0</v>
      </c>
      <c r="W63" s="6">
        <f>IF(AND(M63="纳入",ISNUMBER(T63),T63=1),1,0)</f>
        <v>0</v>
      </c>
      <c r="X63" s="6">
        <f>IF(AND(M63="纳入",ISNUMBER(T63),T63=0),1,0)</f>
        <v>0</v>
      </c>
      <c r="Y63" s="6">
        <f>IF(AND(M63="纳入",ISNUMBER(T63)),1,0)</f>
        <v>0</v>
      </c>
      <c r="Z63" s="6">
        <f>IF(M63&lt;&gt;"纳入","",IF(VALUE(E63)=6,"",IF(VALUE(E63)=3,0.5,IF(OR(AND(VALUE(E63)&lt;3,P63=R63),AND(VALUE(E63)&gt;3,Q63=R63)),1,0))))</f>
        <v/>
      </c>
      <c r="AA63" s="6">
        <f>IF(M63&lt;&gt;"纳入","",IF(VALUE(F63)=6,"",IF(VALUE(F63)=3,0.5,IF(OR(AND(VALUE(F63)&lt;3,P63=R63),AND(VALUE(F63)&gt;3,Q63=R63)),1,0))))</f>
        <v/>
      </c>
      <c r="AB63" s="6">
        <f>IF(M63&lt;&gt;"纳入","",IF(VALUE(G63)=6,"",IF(VALUE(G63)=3,0.5,IF(OR(AND(VALUE(G63)&lt;3,P63=R63),AND(VALUE(G63)&gt;3,Q63=R63)),1,0))))</f>
        <v/>
      </c>
      <c r="AC63" s="6">
        <f>IF(M63&lt;&gt;"纳入","",IF(VALUE(H63)=6,"",IF(VALUE(H63)=3,0.5,IF(OR(AND(VALUE(H63)&lt;3,P63=R63),AND(VALUE(H63)&gt;3,Q63=R63)),1,0))))</f>
        <v/>
      </c>
      <c r="AD63" s="6">
        <f>IF(M63&lt;&gt;"纳入","",IF(VALUE(I63)=6,"",IF(VALUE(I63)=3,0.5,IF(OR(AND(VALUE(I63)&lt;3,P63=R63),AND(VALUE(I63)&gt;3,Q63=R63)),1,0))))</f>
        <v/>
      </c>
    </row>
    <row r="64" spans="1:30" ht="28" customHeight="1">
      <c r="A64" s="4" t="s">
        <v>109</v>
      </c>
      <c r="B64" s="4">
        <v>4</v>
      </c>
      <c r="C64" s="4" t="s">
        <v>85</v>
      </c>
      <c r="D64" s="5"/>
      <c r="E64" s="5"/>
      <c r="F64" s="5"/>
      <c r="G64" s="5"/>
      <c r="H64" s="5"/>
      <c r="I64" s="5"/>
      <c r="J64" s="5"/>
      <c r="K64" s="5"/>
      <c r="L64" s="6">
        <f>SUM(IFERROR(IF(AND(VALUE(D64)&gt;=1,VALUE(D64)&lt;=6,MOD(VALUE(D64),1)=0),1,0),0),IFERROR(IF(AND(VALUE(E64)&gt;=1,VALUE(E64)&lt;=6,MOD(VALUE(E64),1)=0),1,0),0),IFERROR(IF(AND(VALUE(F64)&gt;=1,VALUE(F64)&lt;=6,MOD(VALUE(F64),1)=0),1,0),0),IFERROR(IF(AND(VALUE(G64)&gt;=1,VALUE(G64)&lt;=6,MOD(VALUE(G64),1)=0),1,0),0),IFERROR(IF(AND(VALUE(H64)&gt;=1,VALUE(H64)&lt;=6,MOD(VALUE(H64),1)=0),1,0),0),IFERROR(IF(AND(VALUE(I64)&gt;=1,VALUE(I64)&lt;=6,MOD(VALUE(I64),1)=0),1,0),0))</f>
        <v>0</v>
      </c>
      <c r="M64" s="6" t="str">
        <f>'参与者登记'!K16</f>
        <v>待回收</v>
      </c>
      <c r="N64" s="4" t="s">
        <v>72</v>
      </c>
      <c r="O64" s="4" t="s">
        <v>86</v>
      </c>
      <c r="P64" s="4" t="s">
        <v>75</v>
      </c>
      <c r="Q64" s="4" t="s">
        <v>74</v>
      </c>
      <c r="R64" s="4" t="s">
        <v>74</v>
      </c>
      <c r="S64" s="4" t="s">
        <v>75</v>
      </c>
      <c r="T64" s="6">
        <f>IF(M64&lt;&gt;"纳入","",IF(VALUE(D64)=6,"",IF(VALUE(D64)=3,0.5,IF(OR(AND(VALUE(D64)&lt;3,P64=R64),AND(VALUE(D64)&gt;3,Q64=R64)),1,0))))</f>
        <v/>
      </c>
      <c r="U64" s="6">
        <f>IF(AND(M64="纳入",IFERROR(VALUE(D64),0)=6),1,0)</f>
        <v>0</v>
      </c>
      <c r="V64" s="6">
        <f>IF(AND(M64="纳入",IFERROR(VALUE(D64),0)=3),1,0)</f>
        <v>0</v>
      </c>
      <c r="W64" s="6">
        <f>IF(AND(M64="纳入",ISNUMBER(T64),T64=1),1,0)</f>
        <v>0</v>
      </c>
      <c r="X64" s="6">
        <f>IF(AND(M64="纳入",ISNUMBER(T64),T64=0),1,0)</f>
        <v>0</v>
      </c>
      <c r="Y64" s="6">
        <f>IF(AND(M64="纳入",ISNUMBER(T64)),1,0)</f>
        <v>0</v>
      </c>
      <c r="Z64" s="6">
        <f>IF(M64&lt;&gt;"纳入","",IF(VALUE(E64)=6,"",IF(VALUE(E64)=3,0.5,IF(OR(AND(VALUE(E64)&lt;3,P64=R64),AND(VALUE(E64)&gt;3,Q64=R64)),1,0))))</f>
        <v/>
      </c>
      <c r="AA64" s="6">
        <f>IF(M64&lt;&gt;"纳入","",IF(VALUE(F64)=6,"",IF(VALUE(F64)=3,0.5,IF(OR(AND(VALUE(F64)&lt;3,P64=R64),AND(VALUE(F64)&gt;3,Q64=R64)),1,0))))</f>
        <v/>
      </c>
      <c r="AB64" s="6">
        <f>IF(M64&lt;&gt;"纳入","",IF(VALUE(G64)=6,"",IF(VALUE(G64)=3,0.5,IF(OR(AND(VALUE(G64)&lt;3,P64=R64),AND(VALUE(G64)&gt;3,Q64=R64)),1,0))))</f>
        <v/>
      </c>
      <c r="AC64" s="6">
        <f>IF(M64&lt;&gt;"纳入","",IF(VALUE(H64)=6,"",IF(VALUE(H64)=3,0.5,IF(OR(AND(VALUE(H64)&lt;3,P64=R64),AND(VALUE(H64)&gt;3,Q64=R64)),1,0))))</f>
        <v/>
      </c>
      <c r="AD64" s="6">
        <f>IF(M64&lt;&gt;"纳入","",IF(VALUE(I64)=6,"",IF(VALUE(I64)=3,0.5,IF(OR(AND(VALUE(I64)&lt;3,P64=R64),AND(VALUE(I64)&gt;3,Q64=R64)),1,0))))</f>
        <v/>
      </c>
    </row>
    <row r="65" spans="1:30" ht="28" customHeight="1">
      <c r="A65" s="4" t="s">
        <v>109</v>
      </c>
      <c r="B65" s="4">
        <v>5</v>
      </c>
      <c r="C65" s="4" t="s">
        <v>88</v>
      </c>
      <c r="D65" s="5"/>
      <c r="E65" s="5"/>
      <c r="F65" s="5"/>
      <c r="G65" s="5"/>
      <c r="H65" s="5"/>
      <c r="I65" s="5"/>
      <c r="J65" s="5"/>
      <c r="K65" s="5"/>
      <c r="L65" s="6">
        <f>SUM(IFERROR(IF(AND(VALUE(D65)&gt;=1,VALUE(D65)&lt;=6,MOD(VALUE(D65),1)=0),1,0),0),IFERROR(IF(AND(VALUE(E65)&gt;=1,VALUE(E65)&lt;=6,MOD(VALUE(E65),1)=0),1,0),0),IFERROR(IF(AND(VALUE(F65)&gt;=1,VALUE(F65)&lt;=6,MOD(VALUE(F65),1)=0),1,0),0),IFERROR(IF(AND(VALUE(G65)&gt;=1,VALUE(G65)&lt;=6,MOD(VALUE(G65),1)=0),1,0),0),IFERROR(IF(AND(VALUE(H65)&gt;=1,VALUE(H65)&lt;=6,MOD(VALUE(H65),1)=0),1,0),0),IFERROR(IF(AND(VALUE(I65)&gt;=1,VALUE(I65)&lt;=6,MOD(VALUE(I65),1)=0),1,0),0))</f>
        <v>0</v>
      </c>
      <c r="M65" s="6" t="str">
        <f>'参与者登记'!K16</f>
        <v>待回收</v>
      </c>
      <c r="N65" s="4" t="s">
        <v>72</v>
      </c>
      <c r="O65" s="4" t="s">
        <v>77</v>
      </c>
      <c r="P65" s="4" t="s">
        <v>78</v>
      </c>
      <c r="Q65" s="4" t="s">
        <v>94</v>
      </c>
      <c r="R65" s="4" t="s">
        <v>78</v>
      </c>
      <c r="S65" s="4" t="s">
        <v>94</v>
      </c>
      <c r="T65" s="6">
        <f>IF(M65&lt;&gt;"纳入","",IF(VALUE(D65)=6,"",IF(VALUE(D65)=3,0.5,IF(OR(AND(VALUE(D65)&lt;3,P65=R65),AND(VALUE(D65)&gt;3,Q65=R65)),1,0))))</f>
        <v/>
      </c>
      <c r="U65" s="6">
        <f>IF(AND(M65="纳入",IFERROR(VALUE(D65),0)=6),1,0)</f>
        <v>0</v>
      </c>
      <c r="V65" s="6">
        <f>IF(AND(M65="纳入",IFERROR(VALUE(D65),0)=3),1,0)</f>
        <v>0</v>
      </c>
      <c r="W65" s="6">
        <f>IF(AND(M65="纳入",ISNUMBER(T65),T65=1),1,0)</f>
        <v>0</v>
      </c>
      <c r="X65" s="6">
        <f>IF(AND(M65="纳入",ISNUMBER(T65),T65=0),1,0)</f>
        <v>0</v>
      </c>
      <c r="Y65" s="6">
        <f>IF(AND(M65="纳入",ISNUMBER(T65)),1,0)</f>
        <v>0</v>
      </c>
      <c r="Z65" s="6">
        <f>IF(M65&lt;&gt;"纳入","",IF(VALUE(E65)=6,"",IF(VALUE(E65)=3,0.5,IF(OR(AND(VALUE(E65)&lt;3,P65=R65),AND(VALUE(E65)&gt;3,Q65=R65)),1,0))))</f>
        <v/>
      </c>
      <c r="AA65" s="6">
        <f>IF(M65&lt;&gt;"纳入","",IF(VALUE(F65)=6,"",IF(VALUE(F65)=3,0.5,IF(OR(AND(VALUE(F65)&lt;3,P65=R65),AND(VALUE(F65)&gt;3,Q65=R65)),1,0))))</f>
        <v/>
      </c>
      <c r="AB65" s="6">
        <f>IF(M65&lt;&gt;"纳入","",IF(VALUE(G65)=6,"",IF(VALUE(G65)=3,0.5,IF(OR(AND(VALUE(G65)&lt;3,P65=R65),AND(VALUE(G65)&gt;3,Q65=R65)),1,0))))</f>
        <v/>
      </c>
      <c r="AC65" s="6">
        <f>IF(M65&lt;&gt;"纳入","",IF(VALUE(H65)=6,"",IF(VALUE(H65)=3,0.5,IF(OR(AND(VALUE(H65)&lt;3,P65=R65),AND(VALUE(H65)&gt;3,Q65=R65)),1,0))))</f>
        <v/>
      </c>
      <c r="AD65" s="6">
        <f>IF(M65&lt;&gt;"纳入","",IF(VALUE(I65)=6,"",IF(VALUE(I65)=3,0.5,IF(OR(AND(VALUE(I65)&lt;3,P65=R65),AND(VALUE(I65)&gt;3,Q65=R65)),1,0))))</f>
        <v/>
      </c>
    </row>
    <row r="66" spans="1:30" ht="28" customHeight="1">
      <c r="A66" s="4" t="s">
        <v>109</v>
      </c>
      <c r="B66" s="4">
        <v>6</v>
      </c>
      <c r="C66" s="4" t="s">
        <v>90</v>
      </c>
      <c r="D66" s="5"/>
      <c r="E66" s="5"/>
      <c r="F66" s="5"/>
      <c r="G66" s="5"/>
      <c r="H66" s="5"/>
      <c r="I66" s="5"/>
      <c r="J66" s="5"/>
      <c r="K66" s="5"/>
      <c r="L66" s="6">
        <f>SUM(IFERROR(IF(AND(VALUE(D66)&gt;=1,VALUE(D66)&lt;=6,MOD(VALUE(D66),1)=0),1,0),0),IFERROR(IF(AND(VALUE(E66)&gt;=1,VALUE(E66)&lt;=6,MOD(VALUE(E66),1)=0),1,0),0),IFERROR(IF(AND(VALUE(F66)&gt;=1,VALUE(F66)&lt;=6,MOD(VALUE(F66),1)=0),1,0),0),IFERROR(IF(AND(VALUE(G66)&gt;=1,VALUE(G66)&lt;=6,MOD(VALUE(G66),1)=0),1,0),0),IFERROR(IF(AND(VALUE(H66)&gt;=1,VALUE(H66)&lt;=6,MOD(VALUE(H66),1)=0),1,0),0),IFERROR(IF(AND(VALUE(I66)&gt;=1,VALUE(I66)&lt;=6,MOD(VALUE(I66),1)=0),1,0),0))</f>
        <v>0</v>
      </c>
      <c r="M66" s="6" t="str">
        <f>'参与者登记'!K16</f>
        <v>待回收</v>
      </c>
      <c r="N66" s="4" t="s">
        <v>81</v>
      </c>
      <c r="O66" s="4" t="s">
        <v>100</v>
      </c>
      <c r="P66" s="4" t="s">
        <v>83</v>
      </c>
      <c r="Q66" s="4" t="s">
        <v>84</v>
      </c>
      <c r="R66" s="4" t="s">
        <v>83</v>
      </c>
      <c r="S66" s="4" t="s">
        <v>84</v>
      </c>
      <c r="T66" s="6">
        <f>IF(M66&lt;&gt;"纳入","",IF(VALUE(D66)=6,"",IF(VALUE(D66)=3,0.5,IF(OR(AND(VALUE(D66)&lt;3,P66=R66),AND(VALUE(D66)&gt;3,Q66=R66)),1,0))))</f>
        <v/>
      </c>
      <c r="U66" s="6">
        <f>IF(AND(M66="纳入",IFERROR(VALUE(D66),0)=6),1,0)</f>
        <v>0</v>
      </c>
      <c r="V66" s="6">
        <f>IF(AND(M66="纳入",IFERROR(VALUE(D66),0)=3),1,0)</f>
        <v>0</v>
      </c>
      <c r="W66" s="6">
        <f>IF(AND(M66="纳入",ISNUMBER(T66),T66=1),1,0)</f>
        <v>0</v>
      </c>
      <c r="X66" s="6">
        <f>IF(AND(M66="纳入",ISNUMBER(T66),T66=0),1,0)</f>
        <v>0</v>
      </c>
      <c r="Y66" s="6">
        <f>IF(AND(M66="纳入",ISNUMBER(T66)),1,0)</f>
        <v>0</v>
      </c>
      <c r="Z66" s="6">
        <f>IF(M66&lt;&gt;"纳入","",IF(VALUE(E66)=6,"",IF(VALUE(E66)=3,0.5,IF(OR(AND(VALUE(E66)&lt;3,P66=R66),AND(VALUE(E66)&gt;3,Q66=R66)),1,0))))</f>
        <v/>
      </c>
      <c r="AA66" s="6">
        <f>IF(M66&lt;&gt;"纳入","",IF(VALUE(F66)=6,"",IF(VALUE(F66)=3,0.5,IF(OR(AND(VALUE(F66)&lt;3,P66=R66),AND(VALUE(F66)&gt;3,Q66=R66)),1,0))))</f>
        <v/>
      </c>
      <c r="AB66" s="6">
        <f>IF(M66&lt;&gt;"纳入","",IF(VALUE(G66)=6,"",IF(VALUE(G66)=3,0.5,IF(OR(AND(VALUE(G66)&lt;3,P66=R66),AND(VALUE(G66)&gt;3,Q66=R66)),1,0))))</f>
        <v/>
      </c>
      <c r="AC66" s="6">
        <f>IF(M66&lt;&gt;"纳入","",IF(VALUE(H66)=6,"",IF(VALUE(H66)=3,0.5,IF(OR(AND(VALUE(H66)&lt;3,P66=R66),AND(VALUE(H66)&gt;3,Q66=R66)),1,0))))</f>
        <v/>
      </c>
      <c r="AD66" s="6">
        <f>IF(M66&lt;&gt;"纳入","",IF(VALUE(I66)=6,"",IF(VALUE(I66)=3,0.5,IF(OR(AND(VALUE(I66)&lt;3,P66=R66),AND(VALUE(I66)&gt;3,Q66=R66)),1,0))))</f>
        <v/>
      </c>
    </row>
    <row r="67" spans="1:30" ht="28" customHeight="1">
      <c r="A67" s="4" t="s">
        <v>110</v>
      </c>
      <c r="B67" s="4">
        <v>1</v>
      </c>
      <c r="C67" s="4" t="s">
        <v>71</v>
      </c>
      <c r="D67" s="5"/>
      <c r="E67" s="5"/>
      <c r="F67" s="5"/>
      <c r="G67" s="5"/>
      <c r="H67" s="5"/>
      <c r="I67" s="5"/>
      <c r="J67" s="5"/>
      <c r="K67" s="5"/>
      <c r="L67" s="6">
        <f>SUM(IFERROR(IF(AND(VALUE(D67)&gt;=1,VALUE(D67)&lt;=6,MOD(VALUE(D67),1)=0),1,0),0),IFERROR(IF(AND(VALUE(E67)&gt;=1,VALUE(E67)&lt;=6,MOD(VALUE(E67),1)=0),1,0),0),IFERROR(IF(AND(VALUE(F67)&gt;=1,VALUE(F67)&lt;=6,MOD(VALUE(F67),1)=0),1,0),0),IFERROR(IF(AND(VALUE(G67)&gt;=1,VALUE(G67)&lt;=6,MOD(VALUE(G67),1)=0),1,0),0),IFERROR(IF(AND(VALUE(H67)&gt;=1,VALUE(H67)&lt;=6,MOD(VALUE(H67),1)=0),1,0),0),IFERROR(IF(AND(VALUE(I67)&gt;=1,VALUE(I67)&lt;=6,MOD(VALUE(I67),1)=0),1,0),0))</f>
        <v>0</v>
      </c>
      <c r="M67" s="6" t="str">
        <f>'参与者登记'!K17</f>
        <v>待回收</v>
      </c>
      <c r="N67" s="4" t="s">
        <v>72</v>
      </c>
      <c r="O67" s="4" t="s">
        <v>77</v>
      </c>
      <c r="P67" s="4" t="s">
        <v>75</v>
      </c>
      <c r="Q67" s="4" t="s">
        <v>78</v>
      </c>
      <c r="R67" s="4" t="s">
        <v>78</v>
      </c>
      <c r="S67" s="4" t="s">
        <v>75</v>
      </c>
      <c r="T67" s="6">
        <f>IF(M67&lt;&gt;"纳入","",IF(VALUE(D67)=6,"",IF(VALUE(D67)=3,0.5,IF(OR(AND(VALUE(D67)&lt;3,P67=R67),AND(VALUE(D67)&gt;3,Q67=R67)),1,0))))</f>
        <v/>
      </c>
      <c r="U67" s="6">
        <f>IF(AND(M67="纳入",IFERROR(VALUE(D67),0)=6),1,0)</f>
        <v>0</v>
      </c>
      <c r="V67" s="6">
        <f>IF(AND(M67="纳入",IFERROR(VALUE(D67),0)=3),1,0)</f>
        <v>0</v>
      </c>
      <c r="W67" s="6">
        <f>IF(AND(M67="纳入",ISNUMBER(T67),T67=1),1,0)</f>
        <v>0</v>
      </c>
      <c r="X67" s="6">
        <f>IF(AND(M67="纳入",ISNUMBER(T67),T67=0),1,0)</f>
        <v>0</v>
      </c>
      <c r="Y67" s="6">
        <f>IF(AND(M67="纳入",ISNUMBER(T67)),1,0)</f>
        <v>0</v>
      </c>
      <c r="Z67" s="6">
        <f>IF(M67&lt;&gt;"纳入","",IF(VALUE(E67)=6,"",IF(VALUE(E67)=3,0.5,IF(OR(AND(VALUE(E67)&lt;3,P67=R67),AND(VALUE(E67)&gt;3,Q67=R67)),1,0))))</f>
        <v/>
      </c>
      <c r="AA67" s="6">
        <f>IF(M67&lt;&gt;"纳入","",IF(VALUE(F67)=6,"",IF(VALUE(F67)=3,0.5,IF(OR(AND(VALUE(F67)&lt;3,P67=R67),AND(VALUE(F67)&gt;3,Q67=R67)),1,0))))</f>
        <v/>
      </c>
      <c r="AB67" s="6">
        <f>IF(M67&lt;&gt;"纳入","",IF(VALUE(G67)=6,"",IF(VALUE(G67)=3,0.5,IF(OR(AND(VALUE(G67)&lt;3,P67=R67),AND(VALUE(G67)&gt;3,Q67=R67)),1,0))))</f>
        <v/>
      </c>
      <c r="AC67" s="6">
        <f>IF(M67&lt;&gt;"纳入","",IF(VALUE(H67)=6,"",IF(VALUE(H67)=3,0.5,IF(OR(AND(VALUE(H67)&lt;3,P67=R67),AND(VALUE(H67)&gt;3,Q67=R67)),1,0))))</f>
        <v/>
      </c>
      <c r="AD67" s="6">
        <f>IF(M67&lt;&gt;"纳入","",IF(VALUE(I67)=6,"",IF(VALUE(I67)=3,0.5,IF(OR(AND(VALUE(I67)&lt;3,P67=R67),AND(VALUE(I67)&gt;3,Q67=R67)),1,0))))</f>
        <v/>
      </c>
    </row>
    <row r="68" spans="1:30" ht="28" customHeight="1">
      <c r="A68" s="4" t="s">
        <v>110</v>
      </c>
      <c r="B68" s="4">
        <v>2</v>
      </c>
      <c r="C68" s="4" t="s">
        <v>76</v>
      </c>
      <c r="D68" s="5"/>
      <c r="E68" s="5"/>
      <c r="F68" s="5"/>
      <c r="G68" s="5"/>
      <c r="H68" s="5"/>
      <c r="I68" s="5"/>
      <c r="J68" s="5"/>
      <c r="K68" s="5"/>
      <c r="L68" s="6">
        <f>SUM(IFERROR(IF(AND(VALUE(D68)&gt;=1,VALUE(D68)&lt;=6,MOD(VALUE(D68),1)=0),1,0),0),IFERROR(IF(AND(VALUE(E68)&gt;=1,VALUE(E68)&lt;=6,MOD(VALUE(E68),1)=0),1,0),0),IFERROR(IF(AND(VALUE(F68)&gt;=1,VALUE(F68)&lt;=6,MOD(VALUE(F68),1)=0),1,0),0),IFERROR(IF(AND(VALUE(G68)&gt;=1,VALUE(G68)&lt;=6,MOD(VALUE(G68),1)=0),1,0),0),IFERROR(IF(AND(VALUE(H68)&gt;=1,VALUE(H68)&lt;=6,MOD(VALUE(H68),1)=0),1,0),0),IFERROR(IF(AND(VALUE(I68)&gt;=1,VALUE(I68)&lt;=6,MOD(VALUE(I68),1)=0),1,0),0))</f>
        <v>0</v>
      </c>
      <c r="M68" s="6" t="str">
        <f>'参与者登记'!K17</f>
        <v>待回收</v>
      </c>
      <c r="N68" s="4" t="s">
        <v>81</v>
      </c>
      <c r="O68" s="4" t="s">
        <v>108</v>
      </c>
      <c r="P68" s="4" t="s">
        <v>83</v>
      </c>
      <c r="Q68" s="4" t="s">
        <v>84</v>
      </c>
      <c r="R68" s="4" t="s">
        <v>83</v>
      </c>
      <c r="S68" s="4" t="s">
        <v>84</v>
      </c>
      <c r="T68" s="6">
        <f>IF(M68&lt;&gt;"纳入","",IF(VALUE(D68)=6,"",IF(VALUE(D68)=3,0.5,IF(OR(AND(VALUE(D68)&lt;3,P68=R68),AND(VALUE(D68)&gt;3,Q68=R68)),1,0))))</f>
        <v/>
      </c>
      <c r="U68" s="6">
        <f>IF(AND(M68="纳入",IFERROR(VALUE(D68),0)=6),1,0)</f>
        <v>0</v>
      </c>
      <c r="V68" s="6">
        <f>IF(AND(M68="纳入",IFERROR(VALUE(D68),0)=3),1,0)</f>
        <v>0</v>
      </c>
      <c r="W68" s="6">
        <f>IF(AND(M68="纳入",ISNUMBER(T68),T68=1),1,0)</f>
        <v>0</v>
      </c>
      <c r="X68" s="6">
        <f>IF(AND(M68="纳入",ISNUMBER(T68),T68=0),1,0)</f>
        <v>0</v>
      </c>
      <c r="Y68" s="6">
        <f>IF(AND(M68="纳入",ISNUMBER(T68)),1,0)</f>
        <v>0</v>
      </c>
      <c r="Z68" s="6">
        <f>IF(M68&lt;&gt;"纳入","",IF(VALUE(E68)=6,"",IF(VALUE(E68)=3,0.5,IF(OR(AND(VALUE(E68)&lt;3,P68=R68),AND(VALUE(E68)&gt;3,Q68=R68)),1,0))))</f>
        <v/>
      </c>
      <c r="AA68" s="6">
        <f>IF(M68&lt;&gt;"纳入","",IF(VALUE(F68)=6,"",IF(VALUE(F68)=3,0.5,IF(OR(AND(VALUE(F68)&lt;3,P68=R68),AND(VALUE(F68)&gt;3,Q68=R68)),1,0))))</f>
        <v/>
      </c>
      <c r="AB68" s="6">
        <f>IF(M68&lt;&gt;"纳入","",IF(VALUE(G68)=6,"",IF(VALUE(G68)=3,0.5,IF(OR(AND(VALUE(G68)&lt;3,P68=R68),AND(VALUE(G68)&gt;3,Q68=R68)),1,0))))</f>
        <v/>
      </c>
      <c r="AC68" s="6">
        <f>IF(M68&lt;&gt;"纳入","",IF(VALUE(H68)=6,"",IF(VALUE(H68)=3,0.5,IF(OR(AND(VALUE(H68)&lt;3,P68=R68),AND(VALUE(H68)&gt;3,Q68=R68)),1,0))))</f>
        <v/>
      </c>
      <c r="AD68" s="6">
        <f>IF(M68&lt;&gt;"纳入","",IF(VALUE(I68)=6,"",IF(VALUE(I68)=3,0.5,IF(OR(AND(VALUE(I68)&lt;3,P68=R68),AND(VALUE(I68)&gt;3,Q68=R68)),1,0))))</f>
        <v/>
      </c>
    </row>
    <row r="69" spans="1:30" ht="28" customHeight="1">
      <c r="A69" s="4" t="s">
        <v>110</v>
      </c>
      <c r="B69" s="4">
        <v>3</v>
      </c>
      <c r="C69" s="4" t="s">
        <v>80</v>
      </c>
      <c r="D69" s="5"/>
      <c r="E69" s="5"/>
      <c r="F69" s="5"/>
      <c r="G69" s="5"/>
      <c r="H69" s="5"/>
      <c r="I69" s="5"/>
      <c r="J69" s="5"/>
      <c r="K69" s="5"/>
      <c r="L69" s="6">
        <f>SUM(IFERROR(IF(AND(VALUE(D69)&gt;=1,VALUE(D69)&lt;=6,MOD(VALUE(D69),1)=0),1,0),0),IFERROR(IF(AND(VALUE(E69)&gt;=1,VALUE(E69)&lt;=6,MOD(VALUE(E69),1)=0),1,0),0),IFERROR(IF(AND(VALUE(F69)&gt;=1,VALUE(F69)&lt;=6,MOD(VALUE(F69),1)=0),1,0),0),IFERROR(IF(AND(VALUE(G69)&gt;=1,VALUE(G69)&lt;=6,MOD(VALUE(G69),1)=0),1,0),0),IFERROR(IF(AND(VALUE(H69)&gt;=1,VALUE(H69)&lt;=6,MOD(VALUE(H69),1)=0),1,0),0),IFERROR(IF(AND(VALUE(I69)&gt;=1,VALUE(I69)&lt;=6,MOD(VALUE(I69),1)=0),1,0),0))</f>
        <v>0</v>
      </c>
      <c r="M69" s="6" t="str">
        <f>'参与者登记'!K17</f>
        <v>待回收</v>
      </c>
      <c r="N69" s="4" t="s">
        <v>72</v>
      </c>
      <c r="O69" s="4" t="s">
        <v>86</v>
      </c>
      <c r="P69" s="4" t="s">
        <v>87</v>
      </c>
      <c r="Q69" s="4" t="s">
        <v>74</v>
      </c>
      <c r="R69" s="4" t="s">
        <v>74</v>
      </c>
      <c r="S69" s="4" t="s">
        <v>87</v>
      </c>
      <c r="T69" s="6">
        <f>IF(M69&lt;&gt;"纳入","",IF(VALUE(D69)=6,"",IF(VALUE(D69)=3,0.5,IF(OR(AND(VALUE(D69)&lt;3,P69=R69),AND(VALUE(D69)&gt;3,Q69=R69)),1,0))))</f>
        <v/>
      </c>
      <c r="U69" s="6">
        <f>IF(AND(M69="纳入",IFERROR(VALUE(D69),0)=6),1,0)</f>
        <v>0</v>
      </c>
      <c r="V69" s="6">
        <f>IF(AND(M69="纳入",IFERROR(VALUE(D69),0)=3),1,0)</f>
        <v>0</v>
      </c>
      <c r="W69" s="6">
        <f>IF(AND(M69="纳入",ISNUMBER(T69),T69=1),1,0)</f>
        <v>0</v>
      </c>
      <c r="X69" s="6">
        <f>IF(AND(M69="纳入",ISNUMBER(T69),T69=0),1,0)</f>
        <v>0</v>
      </c>
      <c r="Y69" s="6">
        <f>IF(AND(M69="纳入",ISNUMBER(T69)),1,0)</f>
        <v>0</v>
      </c>
      <c r="Z69" s="6">
        <f>IF(M69&lt;&gt;"纳入","",IF(VALUE(E69)=6,"",IF(VALUE(E69)=3,0.5,IF(OR(AND(VALUE(E69)&lt;3,P69=R69),AND(VALUE(E69)&gt;3,Q69=R69)),1,0))))</f>
        <v/>
      </c>
      <c r="AA69" s="6">
        <f>IF(M69&lt;&gt;"纳入","",IF(VALUE(F69)=6,"",IF(VALUE(F69)=3,0.5,IF(OR(AND(VALUE(F69)&lt;3,P69=R69),AND(VALUE(F69)&gt;3,Q69=R69)),1,0))))</f>
        <v/>
      </c>
      <c r="AB69" s="6">
        <f>IF(M69&lt;&gt;"纳入","",IF(VALUE(G69)=6,"",IF(VALUE(G69)=3,0.5,IF(OR(AND(VALUE(G69)&lt;3,P69=R69),AND(VALUE(G69)&gt;3,Q69=R69)),1,0))))</f>
        <v/>
      </c>
      <c r="AC69" s="6">
        <f>IF(M69&lt;&gt;"纳入","",IF(VALUE(H69)=6,"",IF(VALUE(H69)=3,0.5,IF(OR(AND(VALUE(H69)&lt;3,P69=R69),AND(VALUE(H69)&gt;3,Q69=R69)),1,0))))</f>
        <v/>
      </c>
      <c r="AD69" s="6">
        <f>IF(M69&lt;&gt;"纳入","",IF(VALUE(I69)=6,"",IF(VALUE(I69)=3,0.5,IF(OR(AND(VALUE(I69)&lt;3,P69=R69),AND(VALUE(I69)&gt;3,Q69=R69)),1,0))))</f>
        <v/>
      </c>
    </row>
    <row r="70" spans="1:30" ht="28" customHeight="1">
      <c r="A70" s="4" t="s">
        <v>110</v>
      </c>
      <c r="B70" s="4">
        <v>4</v>
      </c>
      <c r="C70" s="4" t="s">
        <v>85</v>
      </c>
      <c r="D70" s="5"/>
      <c r="E70" s="5"/>
      <c r="F70" s="5"/>
      <c r="G70" s="5"/>
      <c r="H70" s="5"/>
      <c r="I70" s="5"/>
      <c r="J70" s="5"/>
      <c r="K70" s="5"/>
      <c r="L70" s="6">
        <f>SUM(IFERROR(IF(AND(VALUE(D70)&gt;=1,VALUE(D70)&lt;=6,MOD(VALUE(D70),1)=0),1,0),0),IFERROR(IF(AND(VALUE(E70)&gt;=1,VALUE(E70)&lt;=6,MOD(VALUE(E70),1)=0),1,0),0),IFERROR(IF(AND(VALUE(F70)&gt;=1,VALUE(F70)&lt;=6,MOD(VALUE(F70),1)=0),1,0),0),IFERROR(IF(AND(VALUE(G70)&gt;=1,VALUE(G70)&lt;=6,MOD(VALUE(G70),1)=0),1,0),0),IFERROR(IF(AND(VALUE(H70)&gt;=1,VALUE(H70)&lt;=6,MOD(VALUE(H70),1)=0),1,0),0),IFERROR(IF(AND(VALUE(I70)&gt;=1,VALUE(I70)&lt;=6,MOD(VALUE(I70),1)=0),1,0),0))</f>
        <v>0</v>
      </c>
      <c r="M70" s="6" t="str">
        <f>'参与者登记'!K17</f>
        <v>待回收</v>
      </c>
      <c r="N70" s="4" t="s">
        <v>72</v>
      </c>
      <c r="O70" s="4" t="s">
        <v>77</v>
      </c>
      <c r="P70" s="4" t="s">
        <v>74</v>
      </c>
      <c r="Q70" s="4" t="s">
        <v>75</v>
      </c>
      <c r="R70" s="4" t="s">
        <v>74</v>
      </c>
      <c r="S70" s="4" t="s">
        <v>75</v>
      </c>
      <c r="T70" s="6">
        <f>IF(M70&lt;&gt;"纳入","",IF(VALUE(D70)=6,"",IF(VALUE(D70)=3,0.5,IF(OR(AND(VALUE(D70)&lt;3,P70=R70),AND(VALUE(D70)&gt;3,Q70=R70)),1,0))))</f>
        <v/>
      </c>
      <c r="U70" s="6">
        <f>IF(AND(M70="纳入",IFERROR(VALUE(D70),0)=6),1,0)</f>
        <v>0</v>
      </c>
      <c r="V70" s="6">
        <f>IF(AND(M70="纳入",IFERROR(VALUE(D70),0)=3),1,0)</f>
        <v>0</v>
      </c>
      <c r="W70" s="6">
        <f>IF(AND(M70="纳入",ISNUMBER(T70),T70=1),1,0)</f>
        <v>0</v>
      </c>
      <c r="X70" s="6">
        <f>IF(AND(M70="纳入",ISNUMBER(T70),T70=0),1,0)</f>
        <v>0</v>
      </c>
      <c r="Y70" s="6">
        <f>IF(AND(M70="纳入",ISNUMBER(T70)),1,0)</f>
        <v>0</v>
      </c>
      <c r="Z70" s="6">
        <f>IF(M70&lt;&gt;"纳入","",IF(VALUE(E70)=6,"",IF(VALUE(E70)=3,0.5,IF(OR(AND(VALUE(E70)&lt;3,P70=R70),AND(VALUE(E70)&gt;3,Q70=R70)),1,0))))</f>
        <v/>
      </c>
      <c r="AA70" s="6">
        <f>IF(M70&lt;&gt;"纳入","",IF(VALUE(F70)=6,"",IF(VALUE(F70)=3,0.5,IF(OR(AND(VALUE(F70)&lt;3,P70=R70),AND(VALUE(F70)&gt;3,Q70=R70)),1,0))))</f>
        <v/>
      </c>
      <c r="AB70" s="6">
        <f>IF(M70&lt;&gt;"纳入","",IF(VALUE(G70)=6,"",IF(VALUE(G70)=3,0.5,IF(OR(AND(VALUE(G70)&lt;3,P70=R70),AND(VALUE(G70)&gt;3,Q70=R70)),1,0))))</f>
        <v/>
      </c>
      <c r="AC70" s="6">
        <f>IF(M70&lt;&gt;"纳入","",IF(VALUE(H70)=6,"",IF(VALUE(H70)=3,0.5,IF(OR(AND(VALUE(H70)&lt;3,P70=R70),AND(VALUE(H70)&gt;3,Q70=R70)),1,0))))</f>
        <v/>
      </c>
      <c r="AD70" s="6">
        <f>IF(M70&lt;&gt;"纳入","",IF(VALUE(I70)=6,"",IF(VALUE(I70)=3,0.5,IF(OR(AND(VALUE(I70)&lt;3,P70=R70),AND(VALUE(I70)&gt;3,Q70=R70)),1,0))))</f>
        <v/>
      </c>
    </row>
    <row r="71" spans="1:30" ht="28" customHeight="1">
      <c r="A71" s="4" t="s">
        <v>110</v>
      </c>
      <c r="B71" s="4">
        <v>5</v>
      </c>
      <c r="C71" s="4" t="s">
        <v>88</v>
      </c>
      <c r="D71" s="5"/>
      <c r="E71" s="5"/>
      <c r="F71" s="5"/>
      <c r="G71" s="5"/>
      <c r="H71" s="5"/>
      <c r="I71" s="5"/>
      <c r="J71" s="5"/>
      <c r="K71" s="5"/>
      <c r="L71" s="6">
        <f>SUM(IFERROR(IF(AND(VALUE(D71)&gt;=1,VALUE(D71)&lt;=6,MOD(VALUE(D71),1)=0),1,0),0),IFERROR(IF(AND(VALUE(E71)&gt;=1,VALUE(E71)&lt;=6,MOD(VALUE(E71),1)=0),1,0),0),IFERROR(IF(AND(VALUE(F71)&gt;=1,VALUE(F71)&lt;=6,MOD(VALUE(F71),1)=0),1,0),0),IFERROR(IF(AND(VALUE(G71)&gt;=1,VALUE(G71)&lt;=6,MOD(VALUE(G71),1)=0),1,0),0),IFERROR(IF(AND(VALUE(H71)&gt;=1,VALUE(H71)&lt;=6,MOD(VALUE(H71),1)=0),1,0),0),IFERROR(IF(AND(VALUE(I71)&gt;=1,VALUE(I71)&lt;=6,MOD(VALUE(I71),1)=0),1,0),0))</f>
        <v>0</v>
      </c>
      <c r="M71" s="6" t="str">
        <f>'参与者登记'!K17</f>
        <v>待回收</v>
      </c>
      <c r="N71" s="4" t="s">
        <v>81</v>
      </c>
      <c r="O71" s="4" t="s">
        <v>104</v>
      </c>
      <c r="P71" s="4" t="s">
        <v>84</v>
      </c>
      <c r="Q71" s="4" t="s">
        <v>83</v>
      </c>
      <c r="R71" s="4" t="s">
        <v>83</v>
      </c>
      <c r="S71" s="4" t="s">
        <v>84</v>
      </c>
      <c r="T71" s="6">
        <f>IF(M71&lt;&gt;"纳入","",IF(VALUE(D71)=6,"",IF(VALUE(D71)=3,0.5,IF(OR(AND(VALUE(D71)&lt;3,P71=R71),AND(VALUE(D71)&gt;3,Q71=R71)),1,0))))</f>
        <v/>
      </c>
      <c r="U71" s="6">
        <f>IF(AND(M71="纳入",IFERROR(VALUE(D71),0)=6),1,0)</f>
        <v>0</v>
      </c>
      <c r="V71" s="6">
        <f>IF(AND(M71="纳入",IFERROR(VALUE(D71),0)=3),1,0)</f>
        <v>0</v>
      </c>
      <c r="W71" s="6">
        <f>IF(AND(M71="纳入",ISNUMBER(T71),T71=1),1,0)</f>
        <v>0</v>
      </c>
      <c r="X71" s="6">
        <f>IF(AND(M71="纳入",ISNUMBER(T71),T71=0),1,0)</f>
        <v>0</v>
      </c>
      <c r="Y71" s="6">
        <f>IF(AND(M71="纳入",ISNUMBER(T71)),1,0)</f>
        <v>0</v>
      </c>
      <c r="Z71" s="6">
        <f>IF(M71&lt;&gt;"纳入","",IF(VALUE(E71)=6,"",IF(VALUE(E71)=3,0.5,IF(OR(AND(VALUE(E71)&lt;3,P71=R71),AND(VALUE(E71)&gt;3,Q71=R71)),1,0))))</f>
        <v/>
      </c>
      <c r="AA71" s="6">
        <f>IF(M71&lt;&gt;"纳入","",IF(VALUE(F71)=6,"",IF(VALUE(F71)=3,0.5,IF(OR(AND(VALUE(F71)&lt;3,P71=R71),AND(VALUE(F71)&gt;3,Q71=R71)),1,0))))</f>
        <v/>
      </c>
      <c r="AB71" s="6">
        <f>IF(M71&lt;&gt;"纳入","",IF(VALUE(G71)=6,"",IF(VALUE(G71)=3,0.5,IF(OR(AND(VALUE(G71)&lt;3,P71=R71),AND(VALUE(G71)&gt;3,Q71=R71)),1,0))))</f>
        <v/>
      </c>
      <c r="AC71" s="6">
        <f>IF(M71&lt;&gt;"纳入","",IF(VALUE(H71)=6,"",IF(VALUE(H71)=3,0.5,IF(OR(AND(VALUE(H71)&lt;3,P71=R71),AND(VALUE(H71)&gt;3,Q71=R71)),1,0))))</f>
        <v/>
      </c>
      <c r="AD71" s="6">
        <f>IF(M71&lt;&gt;"纳入","",IF(VALUE(I71)=6,"",IF(VALUE(I71)=3,0.5,IF(OR(AND(VALUE(I71)&lt;3,P71=R71),AND(VALUE(I71)&gt;3,Q71=R71)),1,0))))</f>
        <v/>
      </c>
    </row>
    <row r="72" spans="1:30" ht="28" customHeight="1">
      <c r="A72" s="4" t="s">
        <v>110</v>
      </c>
      <c r="B72" s="4">
        <v>6</v>
      </c>
      <c r="C72" s="4" t="s">
        <v>90</v>
      </c>
      <c r="D72" s="5"/>
      <c r="E72" s="5"/>
      <c r="F72" s="5"/>
      <c r="G72" s="5"/>
      <c r="H72" s="5"/>
      <c r="I72" s="5"/>
      <c r="J72" s="5"/>
      <c r="K72" s="5"/>
      <c r="L72" s="6">
        <f>SUM(IFERROR(IF(AND(VALUE(D72)&gt;=1,VALUE(D72)&lt;=6,MOD(VALUE(D72),1)=0),1,0),0),IFERROR(IF(AND(VALUE(E72)&gt;=1,VALUE(E72)&lt;=6,MOD(VALUE(E72),1)=0),1,0),0),IFERROR(IF(AND(VALUE(F72)&gt;=1,VALUE(F72)&lt;=6,MOD(VALUE(F72),1)=0),1,0),0),IFERROR(IF(AND(VALUE(G72)&gt;=1,VALUE(G72)&lt;=6,MOD(VALUE(G72),1)=0),1,0),0),IFERROR(IF(AND(VALUE(H72)&gt;=1,VALUE(H72)&lt;=6,MOD(VALUE(H72),1)=0),1,0),0),IFERROR(IF(AND(VALUE(I72)&gt;=1,VALUE(I72)&lt;=6,MOD(VALUE(I72),1)=0),1,0),0))</f>
        <v>0</v>
      </c>
      <c r="M72" s="6" t="str">
        <f>'参与者登记'!K17</f>
        <v>待回收</v>
      </c>
      <c r="N72" s="4" t="s">
        <v>72</v>
      </c>
      <c r="O72" s="4" t="s">
        <v>73</v>
      </c>
      <c r="P72" s="4" t="s">
        <v>75</v>
      </c>
      <c r="Q72" s="4" t="s">
        <v>79</v>
      </c>
      <c r="R72" s="4" t="s">
        <v>79</v>
      </c>
      <c r="S72" s="4" t="s">
        <v>75</v>
      </c>
      <c r="T72" s="6">
        <f>IF(M72&lt;&gt;"纳入","",IF(VALUE(D72)=6,"",IF(VALUE(D72)=3,0.5,IF(OR(AND(VALUE(D72)&lt;3,P72=R72),AND(VALUE(D72)&gt;3,Q72=R72)),1,0))))</f>
        <v/>
      </c>
      <c r="U72" s="6">
        <f>IF(AND(M72="纳入",IFERROR(VALUE(D72),0)=6),1,0)</f>
        <v>0</v>
      </c>
      <c r="V72" s="6">
        <f>IF(AND(M72="纳入",IFERROR(VALUE(D72),0)=3),1,0)</f>
        <v>0</v>
      </c>
      <c r="W72" s="6">
        <f>IF(AND(M72="纳入",ISNUMBER(T72),T72=1),1,0)</f>
        <v>0</v>
      </c>
      <c r="X72" s="6">
        <f>IF(AND(M72="纳入",ISNUMBER(T72),T72=0),1,0)</f>
        <v>0</v>
      </c>
      <c r="Y72" s="6">
        <f>IF(AND(M72="纳入",ISNUMBER(T72)),1,0)</f>
        <v>0</v>
      </c>
      <c r="Z72" s="6">
        <f>IF(M72&lt;&gt;"纳入","",IF(VALUE(E72)=6,"",IF(VALUE(E72)=3,0.5,IF(OR(AND(VALUE(E72)&lt;3,P72=R72),AND(VALUE(E72)&gt;3,Q72=R72)),1,0))))</f>
        <v/>
      </c>
      <c r="AA72" s="6">
        <f>IF(M72&lt;&gt;"纳入","",IF(VALUE(F72)=6,"",IF(VALUE(F72)=3,0.5,IF(OR(AND(VALUE(F72)&lt;3,P72=R72),AND(VALUE(F72)&gt;3,Q72=R72)),1,0))))</f>
        <v/>
      </c>
      <c r="AB72" s="6">
        <f>IF(M72&lt;&gt;"纳入","",IF(VALUE(G72)=6,"",IF(VALUE(G72)=3,0.5,IF(OR(AND(VALUE(G72)&lt;3,P72=R72),AND(VALUE(G72)&gt;3,Q72=R72)),1,0))))</f>
        <v/>
      </c>
      <c r="AC72" s="6">
        <f>IF(M72&lt;&gt;"纳入","",IF(VALUE(H72)=6,"",IF(VALUE(H72)=3,0.5,IF(OR(AND(VALUE(H72)&lt;3,P72=R72),AND(VALUE(H72)&gt;3,Q72=R72)),1,0))))</f>
        <v/>
      </c>
      <c r="AD72" s="6">
        <f>IF(M72&lt;&gt;"纳入","",IF(VALUE(I72)=6,"",IF(VALUE(I72)=3,0.5,IF(OR(AND(VALUE(I72)&lt;3,P72=R72),AND(VALUE(I72)&gt;3,Q72=R72)),1,0))))</f>
        <v/>
      </c>
    </row>
  </sheetData>
  <sheetProtection sheet="1" objects="1" scenarios="1" autoFilter="0"/>
  <autoFilter ref="A6:M72"/>
  <mergeCells count="2">
    <mergeCell ref="A1:M1"/>
    <mergeCell ref="A2:M4"/>
  </mergeCells>
  <dataValidations count="2">
    <dataValidation type="list" allowBlank="1" showInputMessage="1" showErrorMessage="1" errorTitle="只接受 1–6" error="空白表示尚未录入；无法判断请录入 6。" promptTitle="1–6 编码" prompt="1=A明显，2=A略好，3=相当，4=B略好，5=B明显，6=无法判断。" sqref="D7:I72">
      <formula1>"1,2,3,4,5,6"</formula1>
    </dataValidation>
    <dataValidation type="list" allowBlank="1" showInputMessage="1" showErrorMessage="1" errorTitle="请使用列表中的选项" error="请按原始答卷录入；不要猜测或代填。" promptTitle="原样录入" prompt="留空表示尚未录入。" sqref="J7:J72">
      <formula1>"是,否,无法判断,不回答"</formula1>
    </dataValidation>
  </dataValidation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87F83"/>
    <pageSetUpPr fitToPage="1"/>
  </sheetPr>
  <dimension ref="A1:I2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8" customHeight="1"/>
  <cols>
    <col min="1" max="1" width="46.7109375" customWidth="1"/>
    <col min="2" max="9" width="15.7109375" customWidth="1"/>
  </cols>
  <sheetData>
    <row r="1" spans="1:9" ht="36" customHeight="1">
      <c r="A1" s="1" t="s">
        <v>123</v>
      </c>
      <c r="B1" s="1"/>
      <c r="C1" s="1"/>
      <c r="D1" s="1"/>
      <c r="E1" s="1"/>
      <c r="F1" s="1"/>
      <c r="G1" s="1"/>
      <c r="H1" s="1"/>
      <c r="I1" s="1"/>
    </row>
    <row r="2" spans="1:9" ht="28" customHeight="1">
      <c r="A2" s="3" t="s">
        <v>124</v>
      </c>
      <c r="B2" s="3"/>
      <c r="C2" s="3"/>
      <c r="D2" s="3"/>
      <c r="E2" s="3"/>
      <c r="F2" s="3"/>
      <c r="G2" s="3"/>
      <c r="H2" s="3"/>
      <c r="I2" s="3"/>
    </row>
    <row r="3" spans="1:9" ht="28" customHeight="1">
      <c r="A3" s="3"/>
      <c r="B3" s="3"/>
      <c r="C3" s="3"/>
      <c r="D3" s="3"/>
      <c r="E3" s="3"/>
      <c r="F3" s="3"/>
      <c r="G3" s="3"/>
      <c r="H3" s="3"/>
      <c r="I3" s="3"/>
    </row>
    <row r="4" spans="1:9" ht="28" customHeight="1">
      <c r="A4" s="3"/>
      <c r="B4" s="3"/>
      <c r="C4" s="3"/>
      <c r="D4" s="3"/>
      <c r="E4" s="3"/>
      <c r="F4" s="3"/>
      <c r="G4" s="3"/>
      <c r="H4" s="3"/>
      <c r="I4" s="3"/>
    </row>
    <row r="6" spans="1:9" ht="42" customHeight="1">
      <c r="A6" s="2" t="s">
        <v>125</v>
      </c>
      <c r="B6" s="2" t="s">
        <v>126</v>
      </c>
      <c r="C6" s="2" t="s">
        <v>127</v>
      </c>
      <c r="D6" s="2" t="s">
        <v>64</v>
      </c>
      <c r="E6" s="2" t="s">
        <v>128</v>
      </c>
      <c r="F6" s="2" t="s">
        <v>61</v>
      </c>
      <c r="G6" s="2" t="s">
        <v>129</v>
      </c>
      <c r="H6" s="2" t="s">
        <v>60</v>
      </c>
      <c r="I6" s="2" t="s">
        <v>130</v>
      </c>
    </row>
    <row r="7" spans="1:9" ht="28" customHeight="1">
      <c r="A7" s="4" t="s">
        <v>98</v>
      </c>
      <c r="B7" s="6">
        <f>'逐题汇总'!F7</f>
        <v>0</v>
      </c>
      <c r="C7" s="6">
        <f>'逐题汇总'!G7</f>
        <v>0</v>
      </c>
      <c r="D7" s="6">
        <f>'逐题汇总'!H7</f>
        <v>0</v>
      </c>
      <c r="E7" s="6">
        <f>'逐题汇总'!I7</f>
        <v>0</v>
      </c>
      <c r="F7" s="6">
        <f>'逐题汇总'!J7</f>
        <v>0</v>
      </c>
      <c r="G7" s="6">
        <f>'逐题汇总'!K7</f>
        <v>0</v>
      </c>
      <c r="H7" s="6">
        <f>'逐题汇总'!L7</f>
        <v>0</v>
      </c>
      <c r="I7" s="7">
        <f>IF(D7=0,"",(E7+F7*0.5)/D7)</f>
        <v/>
      </c>
    </row>
    <row r="8" spans="1:9" ht="28" customHeight="1">
      <c r="A8" s="4" t="s">
        <v>95</v>
      </c>
      <c r="B8" s="6">
        <f>'逐题汇总'!F13</f>
        <v>0</v>
      </c>
      <c r="C8" s="6">
        <f>'逐题汇总'!G13</f>
        <v>0</v>
      </c>
      <c r="D8" s="6">
        <f>'逐题汇总'!H13</f>
        <v>0</v>
      </c>
      <c r="E8" s="6">
        <f>'逐题汇总'!I13</f>
        <v>0</v>
      </c>
      <c r="F8" s="6">
        <f>'逐题汇总'!J13</f>
        <v>0</v>
      </c>
      <c r="G8" s="6">
        <f>'逐题汇总'!K13</f>
        <v>0</v>
      </c>
      <c r="H8" s="6">
        <f>'逐题汇总'!L13</f>
        <v>0</v>
      </c>
      <c r="I8" s="7">
        <f>IF(D8=0,"",(E8+F8*0.5)/D8)</f>
        <v/>
      </c>
    </row>
    <row r="9" spans="1:9" ht="28" customHeight="1">
      <c r="A9" s="4" t="s">
        <v>82</v>
      </c>
      <c r="B9" s="6">
        <f>'逐题汇总'!F19</f>
        <v>0</v>
      </c>
      <c r="C9" s="6">
        <f>'逐题汇总'!G19</f>
        <v>0</v>
      </c>
      <c r="D9" s="6">
        <f>'逐题汇总'!H19</f>
        <v>0</v>
      </c>
      <c r="E9" s="6">
        <f>'逐题汇总'!I19</f>
        <v>0</v>
      </c>
      <c r="F9" s="6">
        <f>'逐题汇总'!J19</f>
        <v>0</v>
      </c>
      <c r="G9" s="6">
        <f>'逐题汇总'!K19</f>
        <v>0</v>
      </c>
      <c r="H9" s="6">
        <f>'逐题汇总'!L19</f>
        <v>0</v>
      </c>
      <c r="I9" s="7">
        <f>IF(D9=0,"",(E9+F9*0.5)/D9)</f>
        <v/>
      </c>
    </row>
    <row r="10" spans="1:9" ht="28" customHeight="1">
      <c r="A10" s="4" t="s">
        <v>91</v>
      </c>
      <c r="B10" s="6">
        <f>'逐题汇总'!F25</f>
        <v>0</v>
      </c>
      <c r="C10" s="6">
        <f>'逐题汇总'!G25</f>
        <v>0</v>
      </c>
      <c r="D10" s="6">
        <f>'逐题汇总'!H25</f>
        <v>0</v>
      </c>
      <c r="E10" s="6">
        <f>'逐题汇总'!I25</f>
        <v>0</v>
      </c>
      <c r="F10" s="6">
        <f>'逐题汇总'!J25</f>
        <v>0</v>
      </c>
      <c r="G10" s="6">
        <f>'逐题汇总'!K25</f>
        <v>0</v>
      </c>
      <c r="H10" s="6">
        <f>'逐题汇总'!L25</f>
        <v>0</v>
      </c>
      <c r="I10" s="7">
        <f>IF(D10=0,"",(E10+F10*0.5)/D10)</f>
        <v/>
      </c>
    </row>
    <row r="11" spans="1:9" ht="28" customHeight="1">
      <c r="A11" s="4" t="s">
        <v>104</v>
      </c>
      <c r="B11" s="6">
        <f>'逐题汇总'!F31</f>
        <v>0</v>
      </c>
      <c r="C11" s="6">
        <f>'逐题汇总'!G31</f>
        <v>0</v>
      </c>
      <c r="D11" s="6">
        <f>'逐题汇总'!H31</f>
        <v>0</v>
      </c>
      <c r="E11" s="6">
        <f>'逐题汇总'!I31</f>
        <v>0</v>
      </c>
      <c r="F11" s="6">
        <f>'逐题汇总'!J31</f>
        <v>0</v>
      </c>
      <c r="G11" s="6">
        <f>'逐题汇总'!K31</f>
        <v>0</v>
      </c>
      <c r="H11" s="6">
        <f>'逐题汇总'!L31</f>
        <v>0</v>
      </c>
      <c r="I11" s="7">
        <f>IF(D11=0,"",(E11+F11*0.5)/D11)</f>
        <v/>
      </c>
    </row>
    <row r="12" spans="1:9" ht="28" customHeight="1">
      <c r="A12" s="4" t="s">
        <v>102</v>
      </c>
      <c r="B12" s="6">
        <f>'逐题汇总'!F37</f>
        <v>0</v>
      </c>
      <c r="C12" s="6">
        <f>'逐题汇总'!G37</f>
        <v>0</v>
      </c>
      <c r="D12" s="6">
        <f>'逐题汇总'!H37</f>
        <v>0</v>
      </c>
      <c r="E12" s="6">
        <f>'逐题汇总'!I37</f>
        <v>0</v>
      </c>
      <c r="F12" s="6">
        <f>'逐题汇总'!J37</f>
        <v>0</v>
      </c>
      <c r="G12" s="6">
        <f>'逐题汇总'!K37</f>
        <v>0</v>
      </c>
      <c r="H12" s="6">
        <f>'逐题汇总'!L37</f>
        <v>0</v>
      </c>
      <c r="I12" s="7">
        <f>IF(D12=0,"",(E12+F12*0.5)/D12)</f>
        <v/>
      </c>
    </row>
    <row r="13" spans="1:9" ht="28" customHeight="1">
      <c r="A13" s="4" t="s">
        <v>93</v>
      </c>
      <c r="B13" s="6">
        <f>'逐题汇总'!F43</f>
        <v>0</v>
      </c>
      <c r="C13" s="6">
        <f>'逐题汇总'!G43</f>
        <v>0</v>
      </c>
      <c r="D13" s="6">
        <f>'逐题汇总'!H43</f>
        <v>0</v>
      </c>
      <c r="E13" s="6">
        <f>'逐题汇总'!I43</f>
        <v>0</v>
      </c>
      <c r="F13" s="6">
        <f>'逐题汇总'!J43</f>
        <v>0</v>
      </c>
      <c r="G13" s="6">
        <f>'逐题汇总'!K43</f>
        <v>0</v>
      </c>
      <c r="H13" s="6">
        <f>'逐题汇总'!L43</f>
        <v>0</v>
      </c>
      <c r="I13" s="7">
        <f>IF(D13=0,"",(E13+F13*0.5)/D13)</f>
        <v/>
      </c>
    </row>
    <row r="14" spans="1:9" ht="28" customHeight="1">
      <c r="A14" s="4" t="s">
        <v>97</v>
      </c>
      <c r="B14" s="6">
        <f>'逐题汇总'!F49</f>
        <v>0</v>
      </c>
      <c r="C14" s="6">
        <f>'逐题汇总'!G49</f>
        <v>0</v>
      </c>
      <c r="D14" s="6">
        <f>'逐题汇总'!H49</f>
        <v>0</v>
      </c>
      <c r="E14" s="6">
        <f>'逐题汇总'!I49</f>
        <v>0</v>
      </c>
      <c r="F14" s="6">
        <f>'逐题汇总'!J49</f>
        <v>0</v>
      </c>
      <c r="G14" s="6">
        <f>'逐题汇总'!K49</f>
        <v>0</v>
      </c>
      <c r="H14" s="6">
        <f>'逐题汇总'!L49</f>
        <v>0</v>
      </c>
      <c r="I14" s="7">
        <f>IF(D14=0,"",(E14+F14*0.5)/D14)</f>
        <v/>
      </c>
    </row>
    <row r="15" spans="1:9" ht="28" customHeight="1">
      <c r="A15" s="4" t="s">
        <v>108</v>
      </c>
      <c r="B15" s="6">
        <f>'逐题汇总'!F55</f>
        <v>0</v>
      </c>
      <c r="C15" s="6">
        <f>'逐题汇总'!G55</f>
        <v>0</v>
      </c>
      <c r="D15" s="6">
        <f>'逐题汇总'!H55</f>
        <v>0</v>
      </c>
      <c r="E15" s="6">
        <f>'逐题汇总'!I55</f>
        <v>0</v>
      </c>
      <c r="F15" s="6">
        <f>'逐题汇总'!J55</f>
        <v>0</v>
      </c>
      <c r="G15" s="6">
        <f>'逐题汇总'!K55</f>
        <v>0</v>
      </c>
      <c r="H15" s="6">
        <f>'逐题汇总'!L55</f>
        <v>0</v>
      </c>
      <c r="I15" s="7">
        <f>IF(D15=0,"",(E15+F15*0.5)/D15)</f>
        <v/>
      </c>
    </row>
    <row r="16" spans="1:9" ht="28" customHeight="1">
      <c r="A16" s="4" t="s">
        <v>100</v>
      </c>
      <c r="B16" s="6">
        <f>'逐题汇总'!F61</f>
        <v>0</v>
      </c>
      <c r="C16" s="6">
        <f>'逐题汇总'!G61</f>
        <v>0</v>
      </c>
      <c r="D16" s="6">
        <f>'逐题汇总'!H61</f>
        <v>0</v>
      </c>
      <c r="E16" s="6">
        <f>'逐题汇总'!I61</f>
        <v>0</v>
      </c>
      <c r="F16" s="6">
        <f>'逐题汇总'!J61</f>
        <v>0</v>
      </c>
      <c r="G16" s="6">
        <f>'逐题汇总'!K61</f>
        <v>0</v>
      </c>
      <c r="H16" s="6">
        <f>'逐题汇总'!L61</f>
        <v>0</v>
      </c>
      <c r="I16" s="7">
        <f>IF(D16=0,"",(E16+F16*0.5)/D16)</f>
        <v/>
      </c>
    </row>
    <row r="19" spans="1:9" ht="28" customHeight="1">
      <c r="A19" s="2" t="s">
        <v>131</v>
      </c>
      <c r="I19" s="7">
        <f>IF(COUNT(I7:I16)=10,AVERAGE(I7:I16),"")</f>
        <v/>
      </c>
    </row>
    <row r="20" spans="1:9" ht="28" customHeight="1">
      <c r="A20" s="4" t="s">
        <v>132</v>
      </c>
      <c r="I20" s="6">
        <f>COUNT(I7:I16)</f>
        <v>0</v>
      </c>
    </row>
    <row r="22" spans="1:9" ht="28" customHeight="1">
      <c r="A22" s="3" t="s">
        <v>133</v>
      </c>
      <c r="B22" s="3"/>
      <c r="C22" s="3"/>
      <c r="D22" s="3"/>
      <c r="E22" s="3"/>
      <c r="F22" s="3"/>
      <c r="G22" s="3"/>
      <c r="H22" s="3"/>
      <c r="I22" s="3"/>
    </row>
    <row r="23" spans="1:9" ht="28" customHeight="1">
      <c r="A23" s="3"/>
      <c r="B23" s="3"/>
      <c r="C23" s="3"/>
      <c r="D23" s="3"/>
      <c r="E23" s="3"/>
      <c r="F23" s="3"/>
      <c r="G23" s="3"/>
      <c r="H23" s="3"/>
      <c r="I23" s="3"/>
    </row>
  </sheetData>
  <sheetProtection sheet="1" objects="1" scenarios="1"/>
  <mergeCells count="3">
    <mergeCell ref="A1:I1"/>
    <mergeCell ref="A2:I4"/>
    <mergeCell ref="A22:I23"/>
  </mergeCell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87F83"/>
    <pageSetUpPr fitToPage="1"/>
  </sheetPr>
  <dimension ref="A1:J27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8" customHeight="1"/>
  <cols>
    <col min="1" max="2" width="28.7109375" customWidth="1"/>
    <col min="3" max="9" width="16.7109375" customWidth="1"/>
    <col min="10" max="10" width="23.7109375" customWidth="1"/>
  </cols>
  <sheetData>
    <row r="1" spans="1:10" ht="36" customHeight="1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3" t="s">
        <v>135</v>
      </c>
      <c r="B2" s="3"/>
      <c r="C2" s="3"/>
      <c r="D2" s="3"/>
      <c r="E2" s="3"/>
      <c r="F2" s="3"/>
      <c r="G2" s="3"/>
      <c r="H2" s="3"/>
      <c r="I2" s="3"/>
      <c r="J2" s="3"/>
    </row>
    <row r="3" spans="1:10" ht="28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6" spans="1:10" ht="42" customHeight="1">
      <c r="A6" s="2" t="s">
        <v>136</v>
      </c>
      <c r="B6" s="2" t="s">
        <v>137</v>
      </c>
      <c r="C6" s="2" t="s">
        <v>138</v>
      </c>
      <c r="D6" s="2" t="s">
        <v>139</v>
      </c>
      <c r="E6" s="2" t="s">
        <v>126</v>
      </c>
      <c r="F6" s="2" t="s">
        <v>127</v>
      </c>
      <c r="G6" s="2" t="s">
        <v>64</v>
      </c>
      <c r="H6" s="2" t="s">
        <v>60</v>
      </c>
      <c r="I6" s="2" t="s">
        <v>140</v>
      </c>
      <c r="J6" s="2" t="s">
        <v>141</v>
      </c>
    </row>
    <row r="7" spans="1:10" ht="28" customHeight="1">
      <c r="A7" s="4" t="s">
        <v>74</v>
      </c>
      <c r="B7" s="4" t="s">
        <v>79</v>
      </c>
      <c r="C7" s="4">
        <v>3</v>
      </c>
      <c r="D7" s="6">
        <f>COUNT('逐题汇总'!M139,'逐题汇总'!M193,'逐题汇总'!M295)</f>
        <v>0</v>
      </c>
      <c r="E7" s="6">
        <f>SUM('逐题汇总'!F139,'逐题汇总'!F193,'逐题汇总'!F295)</f>
        <v>0</v>
      </c>
      <c r="F7" s="6">
        <f>SUM('逐题汇总'!G139,'逐题汇总'!G193,'逐题汇总'!G295)</f>
        <v>0</v>
      </c>
      <c r="G7" s="6">
        <f>SUM('逐题汇总'!H139,'逐题汇总'!H193,'逐题汇总'!H295)</f>
        <v>0</v>
      </c>
      <c r="H7" s="6">
        <f>SUM('逐题汇总'!L139,'逐题汇总'!L193,'逐题汇总'!L295)</f>
        <v>0</v>
      </c>
      <c r="I7" s="7">
        <f>IF(D7=C7,AVERAGE('逐题汇总'!M139,'逐题汇总'!M193,'逐题汇总'!M295),"")</f>
        <v/>
      </c>
      <c r="J7" s="6" t="str">
        <f>IF(D7=C7,"已覆盖（探索性）","未完整覆盖")</f>
        <v>未完整覆盖</v>
      </c>
    </row>
    <row r="8" spans="1:10" ht="28" customHeight="1">
      <c r="A8" s="4" t="s">
        <v>74</v>
      </c>
      <c r="B8" s="4" t="s">
        <v>78</v>
      </c>
      <c r="C8" s="4">
        <v>3</v>
      </c>
      <c r="D8" s="6">
        <f>COUNT('逐题汇总'!M85,'逐题汇总'!M223,'逐题汇总'!M277)</f>
        <v>0</v>
      </c>
      <c r="E8" s="6">
        <f>SUM('逐题汇总'!F85,'逐题汇总'!F223,'逐题汇总'!F277)</f>
        <v>0</v>
      </c>
      <c r="F8" s="6">
        <f>SUM('逐题汇总'!G85,'逐题汇总'!G223,'逐题汇总'!G277)</f>
        <v>0</v>
      </c>
      <c r="G8" s="6">
        <f>SUM('逐题汇总'!H85,'逐题汇总'!H223,'逐题汇总'!H277)</f>
        <v>0</v>
      </c>
      <c r="H8" s="6">
        <f>SUM('逐题汇总'!L85,'逐题汇总'!L223,'逐题汇总'!L277)</f>
        <v>0</v>
      </c>
      <c r="I8" s="7">
        <f>IF(D8=C8,AVERAGE('逐题汇总'!M85,'逐题汇总'!M223,'逐题汇总'!M277),"")</f>
        <v/>
      </c>
      <c r="J8" s="6" t="str">
        <f>IF(D8=C8,"已覆盖（探索性）","未完整覆盖")</f>
        <v>未完整覆盖</v>
      </c>
    </row>
    <row r="9" spans="1:10" ht="28" customHeight="1">
      <c r="A9" s="4" t="s">
        <v>74</v>
      </c>
      <c r="B9" s="4" t="s">
        <v>94</v>
      </c>
      <c r="C9" s="4">
        <v>1</v>
      </c>
      <c r="D9" s="6">
        <f>COUNT('逐题汇总'!M181)</f>
        <v>0</v>
      </c>
      <c r="E9" s="6">
        <f>SUM('逐题汇总'!F181)</f>
        <v>0</v>
      </c>
      <c r="F9" s="6">
        <f>SUM('逐题汇总'!G181)</f>
        <v>0</v>
      </c>
      <c r="G9" s="6">
        <f>SUM('逐题汇总'!H181)</f>
        <v>0</v>
      </c>
      <c r="H9" s="6">
        <f>SUM('逐题汇总'!L181)</f>
        <v>0</v>
      </c>
      <c r="I9" s="7">
        <f>IF(D9=C9,AVERAGE('逐题汇总'!M181),"")</f>
        <v/>
      </c>
      <c r="J9" s="6" t="str">
        <f>IF(D9=C9,"已覆盖（探索性）","未完整覆盖")</f>
        <v>未完整覆盖</v>
      </c>
    </row>
    <row r="10" spans="1:10" ht="28" customHeight="1">
      <c r="A10" s="4" t="s">
        <v>74</v>
      </c>
      <c r="B10" s="4" t="s">
        <v>75</v>
      </c>
      <c r="C10" s="4">
        <v>3</v>
      </c>
      <c r="D10" s="6">
        <f>COUNT('逐题汇总'!M103,'逐题汇总'!M235,'逐题汇总'!M283)</f>
        <v>0</v>
      </c>
      <c r="E10" s="6">
        <f>SUM('逐题汇总'!F103,'逐题汇总'!F235,'逐题汇总'!F283)</f>
        <v>0</v>
      </c>
      <c r="F10" s="6">
        <f>SUM('逐题汇总'!G103,'逐题汇总'!G235,'逐题汇总'!G283)</f>
        <v>0</v>
      </c>
      <c r="G10" s="6">
        <f>SUM('逐题汇总'!H103,'逐题汇总'!H235,'逐题汇总'!H283)</f>
        <v>0</v>
      </c>
      <c r="H10" s="6">
        <f>SUM('逐题汇总'!L103,'逐题汇总'!L235,'逐题汇总'!L283)</f>
        <v>0</v>
      </c>
      <c r="I10" s="7">
        <f>IF(D10=C10,AVERAGE('逐题汇总'!M103,'逐题汇总'!M235,'逐题汇总'!M283),"")</f>
        <v/>
      </c>
      <c r="J10" s="6" t="str">
        <f>IF(D10=C10,"已覆盖（探索性）","未完整覆盖")</f>
        <v>未完整覆盖</v>
      </c>
    </row>
    <row r="11" spans="1:10" ht="28" customHeight="1">
      <c r="A11" s="4" t="s">
        <v>74</v>
      </c>
      <c r="B11" s="4" t="s">
        <v>87</v>
      </c>
      <c r="C11" s="4">
        <v>3</v>
      </c>
      <c r="D11" s="6">
        <f>COUNT('逐题汇总'!M115,'逐题汇总'!M217,'逐题汇总'!M301)</f>
        <v>0</v>
      </c>
      <c r="E11" s="6">
        <f>SUM('逐题汇总'!F115,'逐题汇总'!F217,'逐题汇总'!F301)</f>
        <v>0</v>
      </c>
      <c r="F11" s="6">
        <f>SUM('逐题汇总'!G115,'逐题汇总'!G217,'逐题汇总'!G301)</f>
        <v>0</v>
      </c>
      <c r="G11" s="6">
        <f>SUM('逐题汇总'!H115,'逐题汇总'!H217,'逐题汇总'!H301)</f>
        <v>0</v>
      </c>
      <c r="H11" s="6">
        <f>SUM('逐题汇总'!L115,'逐题汇总'!L217,'逐题汇总'!L301)</f>
        <v>0</v>
      </c>
      <c r="I11" s="7">
        <f>IF(D11=C11,AVERAGE('逐题汇总'!M115,'逐题汇总'!M217,'逐题汇总'!M301),"")</f>
        <v/>
      </c>
      <c r="J11" s="6" t="str">
        <f>IF(D11=C11,"已覆盖（探索性）","未完整覆盖")</f>
        <v>未完整覆盖</v>
      </c>
    </row>
    <row r="12" spans="1:10" ht="28" customHeight="1">
      <c r="A12" s="4" t="s">
        <v>74</v>
      </c>
      <c r="B12" s="4" t="s">
        <v>89</v>
      </c>
      <c r="C12" s="4">
        <v>1</v>
      </c>
      <c r="D12" s="6">
        <f>COUNT('逐题汇总'!M157)</f>
        <v>0</v>
      </c>
      <c r="E12" s="6">
        <f>SUM('逐题汇总'!F157)</f>
        <v>0</v>
      </c>
      <c r="F12" s="6">
        <f>SUM('逐题汇总'!G157)</f>
        <v>0</v>
      </c>
      <c r="G12" s="6">
        <f>SUM('逐题汇总'!H157)</f>
        <v>0</v>
      </c>
      <c r="H12" s="6">
        <f>SUM('逐题汇总'!L157)</f>
        <v>0</v>
      </c>
      <c r="I12" s="7">
        <f>IF(D12=C12,AVERAGE('逐题汇总'!M157),"")</f>
        <v/>
      </c>
      <c r="J12" s="6" t="str">
        <f>IF(D12=C12,"已覆盖（探索性）","未完整覆盖")</f>
        <v>未完整覆盖</v>
      </c>
    </row>
    <row r="13" spans="1:10" ht="28" customHeight="1">
      <c r="A13" s="4" t="s">
        <v>79</v>
      </c>
      <c r="B13" s="4" t="s">
        <v>78</v>
      </c>
      <c r="C13" s="4">
        <v>3</v>
      </c>
      <c r="D13" s="6">
        <f>COUNT('逐题汇总'!M121,'逐题汇总'!M211,'逐题汇总'!M253)</f>
        <v>0</v>
      </c>
      <c r="E13" s="6">
        <f>SUM('逐题汇总'!F121,'逐题汇总'!F211,'逐题汇总'!F253)</f>
        <v>0</v>
      </c>
      <c r="F13" s="6">
        <f>SUM('逐题汇总'!G121,'逐题汇总'!G211,'逐题汇总'!G253)</f>
        <v>0</v>
      </c>
      <c r="G13" s="6">
        <f>SUM('逐题汇总'!H121,'逐题汇总'!H211,'逐题汇总'!H253)</f>
        <v>0</v>
      </c>
      <c r="H13" s="6">
        <f>SUM('逐题汇总'!L121,'逐题汇总'!L211,'逐题汇总'!L253)</f>
        <v>0</v>
      </c>
      <c r="I13" s="7">
        <f>IF(D13=C13,AVERAGE('逐题汇总'!M121,'逐题汇总'!M211,'逐题汇总'!M253),"")</f>
        <v/>
      </c>
      <c r="J13" s="6" t="str">
        <f>IF(D13=C13,"已覆盖（探索性）","未完整覆盖")</f>
        <v>未完整覆盖</v>
      </c>
    </row>
    <row r="14" spans="1:10" ht="28" customHeight="1">
      <c r="A14" s="4" t="s">
        <v>79</v>
      </c>
      <c r="B14" s="4" t="s">
        <v>94</v>
      </c>
      <c r="C14" s="4">
        <v>1</v>
      </c>
      <c r="D14" s="6">
        <f>COUNT('逐题汇总'!M163)</f>
        <v>0</v>
      </c>
      <c r="E14" s="6">
        <f>SUM('逐题汇总'!F163)</f>
        <v>0</v>
      </c>
      <c r="F14" s="6">
        <f>SUM('逐题汇总'!G163)</f>
        <v>0</v>
      </c>
      <c r="G14" s="6">
        <f>SUM('逐题汇总'!H163)</f>
        <v>0</v>
      </c>
      <c r="H14" s="6">
        <f>SUM('逐题汇总'!L163)</f>
        <v>0</v>
      </c>
      <c r="I14" s="7">
        <f>IF(D14=C14,AVERAGE('逐题汇总'!M163),"")</f>
        <v/>
      </c>
      <c r="J14" s="6" t="str">
        <f>IF(D14=C14,"已覆盖（探索性）","未完整覆盖")</f>
        <v>未完整覆盖</v>
      </c>
    </row>
    <row r="15" spans="1:10" ht="28" customHeight="1">
      <c r="A15" s="4" t="s">
        <v>79</v>
      </c>
      <c r="B15" s="4" t="s">
        <v>75</v>
      </c>
      <c r="C15" s="4">
        <v>3</v>
      </c>
      <c r="D15" s="6">
        <f>COUNT('逐题汇总'!M127,'逐题汇总'!M241,'逐题汇总'!M289)</f>
        <v>0</v>
      </c>
      <c r="E15" s="6">
        <f>SUM('逐题汇总'!F127,'逐题汇总'!F241,'逐题汇总'!F289)</f>
        <v>0</v>
      </c>
      <c r="F15" s="6">
        <f>SUM('逐题汇总'!G127,'逐题汇总'!G241,'逐题汇总'!G289)</f>
        <v>0</v>
      </c>
      <c r="G15" s="6">
        <f>SUM('逐题汇总'!H127,'逐题汇总'!H241,'逐题汇总'!H289)</f>
        <v>0</v>
      </c>
      <c r="H15" s="6">
        <f>SUM('逐题汇总'!L127,'逐题汇总'!L241,'逐题汇总'!L289)</f>
        <v>0</v>
      </c>
      <c r="I15" s="7">
        <f>IF(D15=C15,AVERAGE('逐题汇总'!M127,'逐题汇总'!M241,'逐题汇总'!M289),"")</f>
        <v/>
      </c>
      <c r="J15" s="6" t="str">
        <f>IF(D15=C15,"已覆盖（探索性）","未完整覆盖")</f>
        <v>未完整覆盖</v>
      </c>
    </row>
    <row r="16" spans="1:10" ht="28" customHeight="1">
      <c r="A16" s="4" t="s">
        <v>79</v>
      </c>
      <c r="B16" s="4" t="s">
        <v>87</v>
      </c>
      <c r="C16" s="4">
        <v>3</v>
      </c>
      <c r="D16" s="6">
        <f>COUNT('逐题汇总'!M151,'逐题汇总'!M247,'逐题汇总'!M265)</f>
        <v>0</v>
      </c>
      <c r="E16" s="6">
        <f>SUM('逐题汇总'!F151,'逐题汇总'!F247,'逐题汇总'!F265)</f>
        <v>0</v>
      </c>
      <c r="F16" s="6">
        <f>SUM('逐题汇总'!G151,'逐题汇总'!G247,'逐题汇总'!G265)</f>
        <v>0</v>
      </c>
      <c r="G16" s="6">
        <f>SUM('逐题汇总'!H151,'逐题汇总'!H247,'逐题汇总'!H265)</f>
        <v>0</v>
      </c>
      <c r="H16" s="6">
        <f>SUM('逐题汇总'!L151,'逐题汇总'!L247,'逐题汇总'!L265)</f>
        <v>0</v>
      </c>
      <c r="I16" s="7">
        <f>IF(D16=C16,AVERAGE('逐题汇总'!M151,'逐题汇总'!M247,'逐题汇总'!M265),"")</f>
        <v/>
      </c>
      <c r="J16" s="6" t="str">
        <f>IF(D16=C16,"已覆盖（探索性）","未完整覆盖")</f>
        <v>未完整覆盖</v>
      </c>
    </row>
    <row r="17" spans="1:10" ht="28" customHeight="1">
      <c r="A17" s="4" t="s">
        <v>79</v>
      </c>
      <c r="B17" s="4" t="s">
        <v>89</v>
      </c>
      <c r="C17" s="4">
        <v>1</v>
      </c>
      <c r="D17" s="6">
        <f>COUNT('逐题汇总'!M187)</f>
        <v>0</v>
      </c>
      <c r="E17" s="6">
        <f>SUM('逐题汇总'!F187)</f>
        <v>0</v>
      </c>
      <c r="F17" s="6">
        <f>SUM('逐题汇总'!G187)</f>
        <v>0</v>
      </c>
      <c r="G17" s="6">
        <f>SUM('逐题汇总'!H187)</f>
        <v>0</v>
      </c>
      <c r="H17" s="6">
        <f>SUM('逐题汇总'!L187)</f>
        <v>0</v>
      </c>
      <c r="I17" s="7">
        <f>IF(D17=C17,AVERAGE('逐题汇总'!M187),"")</f>
        <v/>
      </c>
      <c r="J17" s="6" t="str">
        <f>IF(D17=C17,"已覆盖（探索性）","未完整覆盖")</f>
        <v>未完整覆盖</v>
      </c>
    </row>
    <row r="18" spans="1:10" ht="28" customHeight="1">
      <c r="A18" s="4" t="s">
        <v>78</v>
      </c>
      <c r="B18" s="4" t="s">
        <v>94</v>
      </c>
      <c r="C18" s="4">
        <v>1</v>
      </c>
      <c r="D18" s="6">
        <f>COUNT('逐题汇总'!M109)</f>
        <v>0</v>
      </c>
      <c r="E18" s="6">
        <f>SUM('逐题汇总'!F109)</f>
        <v>0</v>
      </c>
      <c r="F18" s="6">
        <f>SUM('逐题汇总'!G109)</f>
        <v>0</v>
      </c>
      <c r="G18" s="6">
        <f>SUM('逐题汇总'!H109)</f>
        <v>0</v>
      </c>
      <c r="H18" s="6">
        <f>SUM('逐题汇总'!L109)</f>
        <v>0</v>
      </c>
      <c r="I18" s="7">
        <f>IF(D18=C18,AVERAGE('逐题汇总'!M109),"")</f>
        <v/>
      </c>
      <c r="J18" s="6" t="str">
        <f>IF(D18=C18,"已覆盖（探索性）","未完整覆盖")</f>
        <v>未完整覆盖</v>
      </c>
    </row>
    <row r="19" spans="1:10" ht="28" customHeight="1">
      <c r="A19" s="4" t="s">
        <v>78</v>
      </c>
      <c r="B19" s="4" t="s">
        <v>75</v>
      </c>
      <c r="C19" s="4">
        <v>3</v>
      </c>
      <c r="D19" s="6">
        <f>COUNT('逐题汇总'!M73,'逐题汇总'!M229,'逐题汇总'!M259)</f>
        <v>0</v>
      </c>
      <c r="E19" s="6">
        <f>SUM('逐题汇总'!F73,'逐题汇总'!F229,'逐题汇总'!F259)</f>
        <v>0</v>
      </c>
      <c r="F19" s="6">
        <f>SUM('逐题汇总'!G73,'逐题汇总'!G229,'逐题汇总'!G259)</f>
        <v>0</v>
      </c>
      <c r="G19" s="6">
        <f>SUM('逐题汇总'!H73,'逐题汇总'!H229,'逐题汇总'!H259)</f>
        <v>0</v>
      </c>
      <c r="H19" s="6">
        <f>SUM('逐题汇总'!L73,'逐题汇总'!L229,'逐题汇总'!L259)</f>
        <v>0</v>
      </c>
      <c r="I19" s="7">
        <f>IF(D19=C19,AVERAGE('逐题汇总'!M73,'逐题汇总'!M229,'逐题汇总'!M259),"")</f>
        <v/>
      </c>
      <c r="J19" s="6" t="str">
        <f>IF(D19=C19,"已覆盖（探索性）","未完整覆盖")</f>
        <v>未完整覆盖</v>
      </c>
    </row>
    <row r="20" spans="1:10" ht="28" customHeight="1">
      <c r="A20" s="4" t="s">
        <v>78</v>
      </c>
      <c r="B20" s="4" t="s">
        <v>87</v>
      </c>
      <c r="C20" s="4">
        <v>3</v>
      </c>
      <c r="D20" s="6">
        <f>COUNT('逐题汇总'!M169,'逐题汇总'!M205,'逐题汇总'!M271)</f>
        <v>0</v>
      </c>
      <c r="E20" s="6">
        <f>SUM('逐题汇总'!F169,'逐题汇总'!F205,'逐题汇总'!F271)</f>
        <v>0</v>
      </c>
      <c r="F20" s="6">
        <f>SUM('逐题汇总'!G169,'逐题汇总'!G205,'逐题汇总'!G271)</f>
        <v>0</v>
      </c>
      <c r="G20" s="6">
        <f>SUM('逐题汇总'!H169,'逐题汇总'!H205,'逐题汇总'!H271)</f>
        <v>0</v>
      </c>
      <c r="H20" s="6">
        <f>SUM('逐题汇总'!L169,'逐题汇总'!L205,'逐题汇总'!L271)</f>
        <v>0</v>
      </c>
      <c r="I20" s="7">
        <f>IF(D20=C20,AVERAGE('逐题汇总'!M169,'逐题汇总'!M205,'逐题汇总'!M271),"")</f>
        <v/>
      </c>
      <c r="J20" s="6" t="str">
        <f>IF(D20=C20,"已覆盖（探索性）","未完整覆盖")</f>
        <v>未完整覆盖</v>
      </c>
    </row>
    <row r="21" spans="1:10" ht="28" customHeight="1">
      <c r="A21" s="4" t="s">
        <v>78</v>
      </c>
      <c r="B21" s="4" t="s">
        <v>89</v>
      </c>
      <c r="C21" s="4">
        <v>1</v>
      </c>
      <c r="D21" s="6">
        <f>COUNT('逐题汇总'!M145)</f>
        <v>0</v>
      </c>
      <c r="E21" s="6">
        <f>SUM('逐题汇总'!F145)</f>
        <v>0</v>
      </c>
      <c r="F21" s="6">
        <f>SUM('逐题汇总'!G145)</f>
        <v>0</v>
      </c>
      <c r="G21" s="6">
        <f>SUM('逐题汇总'!H145)</f>
        <v>0</v>
      </c>
      <c r="H21" s="6">
        <f>SUM('逐题汇总'!L145)</f>
        <v>0</v>
      </c>
      <c r="I21" s="7">
        <f>IF(D21=C21,AVERAGE('逐题汇总'!M145),"")</f>
        <v/>
      </c>
      <c r="J21" s="6" t="str">
        <f>IF(D21=C21,"已覆盖（探索性）","未完整覆盖")</f>
        <v>未完整覆盖</v>
      </c>
    </row>
    <row r="22" spans="1:10" ht="28" customHeight="1">
      <c r="A22" s="4" t="s">
        <v>94</v>
      </c>
      <c r="B22" s="4" t="s">
        <v>75</v>
      </c>
      <c r="C22" s="4">
        <v>1</v>
      </c>
      <c r="D22" s="6">
        <f>COUNT('逐题汇总'!M97)</f>
        <v>0</v>
      </c>
      <c r="E22" s="6">
        <f>SUM('逐题汇总'!F97)</f>
        <v>0</v>
      </c>
      <c r="F22" s="6">
        <f>SUM('逐题汇总'!G97)</f>
        <v>0</v>
      </c>
      <c r="G22" s="6">
        <f>SUM('逐题汇总'!H97)</f>
        <v>0</v>
      </c>
      <c r="H22" s="6">
        <f>SUM('逐题汇总'!L97)</f>
        <v>0</v>
      </c>
      <c r="I22" s="7">
        <f>IF(D22=C22,AVERAGE('逐题汇总'!M97),"")</f>
        <v/>
      </c>
      <c r="J22" s="6" t="str">
        <f>IF(D22=C22,"已覆盖（探索性）","未完整覆盖")</f>
        <v>未完整覆盖</v>
      </c>
    </row>
    <row r="23" spans="1:10" ht="28" customHeight="1">
      <c r="A23" s="4" t="s">
        <v>94</v>
      </c>
      <c r="B23" s="4" t="s">
        <v>87</v>
      </c>
      <c r="C23" s="4">
        <v>1</v>
      </c>
      <c r="D23" s="6">
        <f>COUNT('逐题汇总'!M91)</f>
        <v>0</v>
      </c>
      <c r="E23" s="6">
        <f>SUM('逐题汇总'!F91)</f>
        <v>0</v>
      </c>
      <c r="F23" s="6">
        <f>SUM('逐题汇总'!G91)</f>
        <v>0</v>
      </c>
      <c r="G23" s="6">
        <f>SUM('逐题汇总'!H91)</f>
        <v>0</v>
      </c>
      <c r="H23" s="6">
        <f>SUM('逐题汇总'!L91)</f>
        <v>0</v>
      </c>
      <c r="I23" s="7">
        <f>IF(D23=C23,AVERAGE('逐题汇总'!M91),"")</f>
        <v/>
      </c>
      <c r="J23" s="6" t="str">
        <f>IF(D23=C23,"已覆盖（探索性）","未完整覆盖")</f>
        <v>未完整覆盖</v>
      </c>
    </row>
    <row r="24" spans="1:10" ht="28" customHeight="1">
      <c r="A24" s="4" t="s">
        <v>94</v>
      </c>
      <c r="B24" s="4" t="s">
        <v>89</v>
      </c>
      <c r="C24" s="4">
        <v>1</v>
      </c>
      <c r="D24" s="6">
        <f>COUNT('逐题汇总'!M133)</f>
        <v>0</v>
      </c>
      <c r="E24" s="6">
        <f>SUM('逐题汇总'!F133)</f>
        <v>0</v>
      </c>
      <c r="F24" s="6">
        <f>SUM('逐题汇总'!G133)</f>
        <v>0</v>
      </c>
      <c r="G24" s="6">
        <f>SUM('逐题汇总'!H133)</f>
        <v>0</v>
      </c>
      <c r="H24" s="6">
        <f>SUM('逐题汇总'!L133)</f>
        <v>0</v>
      </c>
      <c r="I24" s="7">
        <f>IF(D24=C24,AVERAGE('逐题汇总'!M133),"")</f>
        <v/>
      </c>
      <c r="J24" s="6" t="str">
        <f>IF(D24=C24,"已覆盖（探索性）","未完整覆盖")</f>
        <v>未完整覆盖</v>
      </c>
    </row>
    <row r="25" spans="1:10" ht="28" customHeight="1">
      <c r="A25" s="4" t="s">
        <v>75</v>
      </c>
      <c r="B25" s="4" t="s">
        <v>87</v>
      </c>
      <c r="C25" s="4">
        <v>3</v>
      </c>
      <c r="D25" s="6">
        <f>COUNT('逐题汇总'!M67,'逐题汇总'!M199,'逐题汇总'!M307)</f>
        <v>0</v>
      </c>
      <c r="E25" s="6">
        <f>SUM('逐题汇总'!F67,'逐题汇总'!F199,'逐题汇总'!F307)</f>
        <v>0</v>
      </c>
      <c r="F25" s="6">
        <f>SUM('逐题汇总'!G67,'逐题汇总'!G199,'逐题汇总'!G307)</f>
        <v>0</v>
      </c>
      <c r="G25" s="6">
        <f>SUM('逐题汇总'!H67,'逐题汇总'!H199,'逐题汇总'!H307)</f>
        <v>0</v>
      </c>
      <c r="H25" s="6">
        <f>SUM('逐题汇总'!L67,'逐题汇总'!L199,'逐题汇总'!L307)</f>
        <v>0</v>
      </c>
      <c r="I25" s="7">
        <f>IF(D25=C25,AVERAGE('逐题汇总'!M67,'逐题汇总'!M199,'逐题汇总'!M307),"")</f>
        <v/>
      </c>
      <c r="J25" s="6" t="str">
        <f>IF(D25=C25,"已覆盖（探索性）","未完整覆盖")</f>
        <v>未完整覆盖</v>
      </c>
    </row>
    <row r="26" spans="1:10" ht="28" customHeight="1">
      <c r="A26" s="4" t="s">
        <v>75</v>
      </c>
      <c r="B26" s="4" t="s">
        <v>89</v>
      </c>
      <c r="C26" s="4">
        <v>1</v>
      </c>
      <c r="D26" s="6">
        <f>COUNT('逐题汇总'!M79)</f>
        <v>0</v>
      </c>
      <c r="E26" s="6">
        <f>SUM('逐题汇总'!F79)</f>
        <v>0</v>
      </c>
      <c r="F26" s="6">
        <f>SUM('逐题汇总'!G79)</f>
        <v>0</v>
      </c>
      <c r="G26" s="6">
        <f>SUM('逐题汇总'!H79)</f>
        <v>0</v>
      </c>
      <c r="H26" s="6">
        <f>SUM('逐题汇总'!L79)</f>
        <v>0</v>
      </c>
      <c r="I26" s="7">
        <f>IF(D26=C26,AVERAGE('逐题汇总'!M79),"")</f>
        <v/>
      </c>
      <c r="J26" s="6" t="str">
        <f>IF(D26=C26,"已覆盖（探索性）","未完整覆盖")</f>
        <v>未完整覆盖</v>
      </c>
    </row>
    <row r="27" spans="1:10" ht="28" customHeight="1">
      <c r="A27" s="4" t="s">
        <v>87</v>
      </c>
      <c r="B27" s="4" t="s">
        <v>89</v>
      </c>
      <c r="C27" s="4">
        <v>1</v>
      </c>
      <c r="D27" s="6">
        <f>COUNT('逐题汇总'!M175)</f>
        <v>0</v>
      </c>
      <c r="E27" s="6">
        <f>SUM('逐题汇总'!F175)</f>
        <v>0</v>
      </c>
      <c r="F27" s="6">
        <f>SUM('逐题汇总'!G175)</f>
        <v>0</v>
      </c>
      <c r="G27" s="6">
        <f>SUM('逐题汇总'!H175)</f>
        <v>0</v>
      </c>
      <c r="H27" s="6">
        <f>SUM('逐题汇总'!L175)</f>
        <v>0</v>
      </c>
      <c r="I27" s="7">
        <f>IF(D27=C27,AVERAGE('逐题汇总'!M175),"")</f>
        <v/>
      </c>
      <c r="J27" s="6" t="str">
        <f>IF(D27=C27,"已覆盖（探索性）","未完整覆盖")</f>
        <v>未完整覆盖</v>
      </c>
    </row>
  </sheetData>
  <sheetProtection sheet="1" objects="1" scenarios="1" autoFilter="0"/>
  <autoFilter ref="A6:J27"/>
  <mergeCells count="2">
    <mergeCell ref="A1:J1"/>
    <mergeCell ref="A2:J4"/>
  </mergeCells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87F83"/>
    <pageSetUpPr fitToPage="1"/>
  </sheetPr>
  <dimension ref="A1:M312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8" customHeight="1"/>
  <cols>
    <col min="1" max="13" width="16.7109375" customWidth="1"/>
    <col min="2" max="2" width="44.7109375" customWidth="1"/>
    <col min="3" max="4" width="26.7109375" customWidth="1"/>
    <col min="5" max="5" width="19.7109375" customWidth="1"/>
  </cols>
  <sheetData>
    <row r="1" spans="1:13" ht="36" customHeight="1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8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8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spans="1:13" ht="42" customHeight="1">
      <c r="A6" s="2" t="s">
        <v>53</v>
      </c>
      <c r="B6" s="2" t="s">
        <v>54</v>
      </c>
      <c r="C6" s="2" t="s">
        <v>57</v>
      </c>
      <c r="D6" s="2" t="s">
        <v>58</v>
      </c>
      <c r="E6" s="2" t="s">
        <v>113</v>
      </c>
      <c r="F6" s="2" t="s">
        <v>114</v>
      </c>
      <c r="G6" s="2" t="s">
        <v>115</v>
      </c>
      <c r="H6" s="2" t="s">
        <v>64</v>
      </c>
      <c r="I6" s="2" t="s">
        <v>62</v>
      </c>
      <c r="J6" s="2" t="s">
        <v>61</v>
      </c>
      <c r="K6" s="2" t="s">
        <v>63</v>
      </c>
      <c r="L6" s="2" t="s">
        <v>60</v>
      </c>
      <c r="M6" s="2" t="s">
        <v>116</v>
      </c>
    </row>
    <row r="7" spans="1:13" ht="28" customHeight="1">
      <c r="A7" s="4" t="s">
        <v>81</v>
      </c>
      <c r="B7" s="4" t="s">
        <v>98</v>
      </c>
      <c r="C7" s="4" t="s">
        <v>83</v>
      </c>
      <c r="D7" s="4" t="s">
        <v>84</v>
      </c>
      <c r="E7" s="4" t="s">
        <v>117</v>
      </c>
      <c r="F7" s="4">
        <v>4</v>
      </c>
      <c r="G7" s="6">
        <f>IF('评分录入'!M22="纳入",1,0)+IF('评分录入'!M27="纳入",1,0)+IF('评分录入'!M35="纳入",1,0)+IF('评分录入'!M37="纳入",1,0)</f>
        <v>0</v>
      </c>
      <c r="H7" s="6">
        <f>IF(ISNUMBER('评分录入'!T22),1,0)+IF(ISNUMBER('评分录入'!T27),1,0)+IF(ISNUMBER('评分录入'!T35),1,0)+IF(ISNUMBER('评分录入'!T37),1,0)</f>
        <v>0</v>
      </c>
      <c r="I7" s="6">
        <f>IF(AND(ISNUMBER('评分录入'!T22),'评分录入'!T22=1),1,0)+IF(AND(ISNUMBER('评分录入'!T27),'评分录入'!T27=1),1,0)+IF(AND(ISNUMBER('评分录入'!T35),'评分录入'!T35=1),1,0)+IF(AND(ISNUMBER('评分录入'!T37),'评分录入'!T37=1),1,0)</f>
        <v>0</v>
      </c>
      <c r="J7" s="6">
        <f>IF(AND(ISNUMBER('评分录入'!T22),'评分录入'!T22=0.5),1,0)+IF(AND(ISNUMBER('评分录入'!T27),'评分录入'!T27=0.5),1,0)+IF(AND(ISNUMBER('评分录入'!T35),'评分录入'!T35=0.5),1,0)+IF(AND(ISNUMBER('评分录入'!T37),'评分录入'!T37=0.5),1,0)</f>
        <v>0</v>
      </c>
      <c r="K7" s="6">
        <f>IF(AND(ISNUMBER('评分录入'!T22),'评分录入'!T22=0),1,0)+IF(AND(ISNUMBER('评分录入'!T27),'评分录入'!T27=0),1,0)+IF(AND(ISNUMBER('评分录入'!T35),'评分录入'!T35=0),1,0)+IF(AND(ISNUMBER('评分录入'!T37),'评分录入'!T37=0),1,0)</f>
        <v>0</v>
      </c>
      <c r="L7" s="6">
        <f>G7-H7</f>
        <v>0</v>
      </c>
      <c r="M7" s="7">
        <f>IF(H7=0,"",(I7+J7*0.5)/H7)</f>
        <v/>
      </c>
    </row>
    <row r="8" spans="1:13" ht="28" customHeight="1">
      <c r="A8" s="4" t="s">
        <v>81</v>
      </c>
      <c r="B8" s="4" t="s">
        <v>98</v>
      </c>
      <c r="C8" s="4" t="s">
        <v>83</v>
      </c>
      <c r="D8" s="4" t="s">
        <v>84</v>
      </c>
      <c r="E8" s="4" t="s">
        <v>118</v>
      </c>
      <c r="F8" s="4">
        <v>4</v>
      </c>
      <c r="G8" s="6">
        <f>IF('评分录入'!M22="纳入",1,0)+IF('评分录入'!M27="纳入",1,0)+IF('评分录入'!M35="纳入",1,0)+IF('评分录入'!M37="纳入",1,0)</f>
        <v>0</v>
      </c>
      <c r="H8" s="6">
        <f>IF(ISNUMBER('评分录入'!Z22),1,0)+IF(ISNUMBER('评分录入'!Z27),1,0)+IF(ISNUMBER('评分录入'!Z35),1,0)+IF(ISNUMBER('评分录入'!Z37),1,0)</f>
        <v>0</v>
      </c>
      <c r="I8" s="6">
        <f>IF(AND(ISNUMBER('评分录入'!Z22),'评分录入'!Z22=1),1,0)+IF(AND(ISNUMBER('评分录入'!Z27),'评分录入'!Z27=1),1,0)+IF(AND(ISNUMBER('评分录入'!Z35),'评分录入'!Z35=1),1,0)+IF(AND(ISNUMBER('评分录入'!Z37),'评分录入'!Z37=1),1,0)</f>
        <v>0</v>
      </c>
      <c r="J8" s="6">
        <f>IF(AND(ISNUMBER('评分录入'!Z22),'评分录入'!Z22=0.5),1,0)+IF(AND(ISNUMBER('评分录入'!Z27),'评分录入'!Z27=0.5),1,0)+IF(AND(ISNUMBER('评分录入'!Z35),'评分录入'!Z35=0.5),1,0)+IF(AND(ISNUMBER('评分录入'!Z37),'评分录入'!Z37=0.5),1,0)</f>
        <v>0</v>
      </c>
      <c r="K8" s="6">
        <f>IF(AND(ISNUMBER('评分录入'!Z22),'评分录入'!Z22=0),1,0)+IF(AND(ISNUMBER('评分录入'!Z27),'评分录入'!Z27=0),1,0)+IF(AND(ISNUMBER('评分录入'!Z35),'评分录入'!Z35=0),1,0)+IF(AND(ISNUMBER('评分录入'!Z37),'评分录入'!Z37=0),1,0)</f>
        <v>0</v>
      </c>
      <c r="L8" s="6">
        <f>G8-H8</f>
        <v>0</v>
      </c>
      <c r="M8" s="7">
        <f>IF(H8=0,"",(I8+J8*0.5)/H8)</f>
        <v/>
      </c>
    </row>
    <row r="9" spans="1:13" ht="28" customHeight="1">
      <c r="A9" s="4" t="s">
        <v>81</v>
      </c>
      <c r="B9" s="4" t="s">
        <v>98</v>
      </c>
      <c r="C9" s="4" t="s">
        <v>83</v>
      </c>
      <c r="D9" s="4" t="s">
        <v>84</v>
      </c>
      <c r="E9" s="4" t="s">
        <v>119</v>
      </c>
      <c r="F9" s="4">
        <v>4</v>
      </c>
      <c r="G9" s="6">
        <f>IF('评分录入'!M22="纳入",1,0)+IF('评分录入'!M27="纳入",1,0)+IF('评分录入'!M35="纳入",1,0)+IF('评分录入'!M37="纳入",1,0)</f>
        <v>0</v>
      </c>
      <c r="H9" s="6">
        <f>IF(ISNUMBER('评分录入'!AA22),1,0)+IF(ISNUMBER('评分录入'!AA27),1,0)+IF(ISNUMBER('评分录入'!AA35),1,0)+IF(ISNUMBER('评分录入'!AA37),1,0)</f>
        <v>0</v>
      </c>
      <c r="I9" s="6">
        <f>IF(AND(ISNUMBER('评分录入'!AA22),'评分录入'!AA22=1),1,0)+IF(AND(ISNUMBER('评分录入'!AA27),'评分录入'!AA27=1),1,0)+IF(AND(ISNUMBER('评分录入'!AA35),'评分录入'!AA35=1),1,0)+IF(AND(ISNUMBER('评分录入'!AA37),'评分录入'!AA37=1),1,0)</f>
        <v>0</v>
      </c>
      <c r="J9" s="6">
        <f>IF(AND(ISNUMBER('评分录入'!AA22),'评分录入'!AA22=0.5),1,0)+IF(AND(ISNUMBER('评分录入'!AA27),'评分录入'!AA27=0.5),1,0)+IF(AND(ISNUMBER('评分录入'!AA35),'评分录入'!AA35=0.5),1,0)+IF(AND(ISNUMBER('评分录入'!AA37),'评分录入'!AA37=0.5),1,0)</f>
        <v>0</v>
      </c>
      <c r="K9" s="6">
        <f>IF(AND(ISNUMBER('评分录入'!AA22),'评分录入'!AA22=0),1,0)+IF(AND(ISNUMBER('评分录入'!AA27),'评分录入'!AA27=0),1,0)+IF(AND(ISNUMBER('评分录入'!AA35),'评分录入'!AA35=0),1,0)+IF(AND(ISNUMBER('评分录入'!AA37),'评分录入'!AA37=0),1,0)</f>
        <v>0</v>
      </c>
      <c r="L9" s="6">
        <f>G9-H9</f>
        <v>0</v>
      </c>
      <c r="M9" s="7">
        <f>IF(H9=0,"",(I9+J9*0.5)/H9)</f>
        <v/>
      </c>
    </row>
    <row r="10" spans="1:13" ht="28" customHeight="1">
      <c r="A10" s="4" t="s">
        <v>81</v>
      </c>
      <c r="B10" s="4" t="s">
        <v>98</v>
      </c>
      <c r="C10" s="4" t="s">
        <v>83</v>
      </c>
      <c r="D10" s="4" t="s">
        <v>84</v>
      </c>
      <c r="E10" s="4" t="s">
        <v>120</v>
      </c>
      <c r="F10" s="4">
        <v>4</v>
      </c>
      <c r="G10" s="6">
        <f>IF('评分录入'!M22="纳入",1,0)+IF('评分录入'!M27="纳入",1,0)+IF('评分录入'!M35="纳入",1,0)+IF('评分录入'!M37="纳入",1,0)</f>
        <v>0</v>
      </c>
      <c r="H10" s="6">
        <f>IF(ISNUMBER('评分录入'!AB22),1,0)+IF(ISNUMBER('评分录入'!AB27),1,0)+IF(ISNUMBER('评分录入'!AB35),1,0)+IF(ISNUMBER('评分录入'!AB37),1,0)</f>
        <v>0</v>
      </c>
      <c r="I10" s="6">
        <f>IF(AND(ISNUMBER('评分录入'!AB22),'评分录入'!AB22=1),1,0)+IF(AND(ISNUMBER('评分录入'!AB27),'评分录入'!AB27=1),1,0)+IF(AND(ISNUMBER('评分录入'!AB35),'评分录入'!AB35=1),1,0)+IF(AND(ISNUMBER('评分录入'!AB37),'评分录入'!AB37=1),1,0)</f>
        <v>0</v>
      </c>
      <c r="J10" s="6">
        <f>IF(AND(ISNUMBER('评分录入'!AB22),'评分录入'!AB22=0.5),1,0)+IF(AND(ISNUMBER('评分录入'!AB27),'评分录入'!AB27=0.5),1,0)+IF(AND(ISNUMBER('评分录入'!AB35),'评分录入'!AB35=0.5),1,0)+IF(AND(ISNUMBER('评分录入'!AB37),'评分录入'!AB37=0.5),1,0)</f>
        <v>0</v>
      </c>
      <c r="K10" s="6">
        <f>IF(AND(ISNUMBER('评分录入'!AB22),'评分录入'!AB22=0),1,0)+IF(AND(ISNUMBER('评分录入'!AB27),'评分录入'!AB27=0),1,0)+IF(AND(ISNUMBER('评分录入'!AB35),'评分录入'!AB35=0),1,0)+IF(AND(ISNUMBER('评分录入'!AB37),'评分录入'!AB37=0),1,0)</f>
        <v>0</v>
      </c>
      <c r="L10" s="6">
        <f>G10-H10</f>
        <v>0</v>
      </c>
      <c r="M10" s="7">
        <f>IF(H10=0,"",(I10+J10*0.5)/H10)</f>
        <v/>
      </c>
    </row>
    <row r="11" spans="1:13" ht="28" customHeight="1">
      <c r="A11" s="4" t="s">
        <v>81</v>
      </c>
      <c r="B11" s="4" t="s">
        <v>98</v>
      </c>
      <c r="C11" s="4" t="s">
        <v>83</v>
      </c>
      <c r="D11" s="4" t="s">
        <v>84</v>
      </c>
      <c r="E11" s="4" t="s">
        <v>121</v>
      </c>
      <c r="F11" s="4">
        <v>4</v>
      </c>
      <c r="G11" s="6">
        <f>IF('评分录入'!M22="纳入",1,0)+IF('评分录入'!M27="纳入",1,0)+IF('评分录入'!M35="纳入",1,0)+IF('评分录入'!M37="纳入",1,0)</f>
        <v>0</v>
      </c>
      <c r="H11" s="6">
        <f>IF(ISNUMBER('评分录入'!AC22),1,0)+IF(ISNUMBER('评分录入'!AC27),1,0)+IF(ISNUMBER('评分录入'!AC35),1,0)+IF(ISNUMBER('评分录入'!AC37),1,0)</f>
        <v>0</v>
      </c>
      <c r="I11" s="6">
        <f>IF(AND(ISNUMBER('评分录入'!AC22),'评分录入'!AC22=1),1,0)+IF(AND(ISNUMBER('评分录入'!AC27),'评分录入'!AC27=1),1,0)+IF(AND(ISNUMBER('评分录入'!AC35),'评分录入'!AC35=1),1,0)+IF(AND(ISNUMBER('评分录入'!AC37),'评分录入'!AC37=1),1,0)</f>
        <v>0</v>
      </c>
      <c r="J11" s="6">
        <f>IF(AND(ISNUMBER('评分录入'!AC22),'评分录入'!AC22=0.5),1,0)+IF(AND(ISNUMBER('评分录入'!AC27),'评分录入'!AC27=0.5),1,0)+IF(AND(ISNUMBER('评分录入'!AC35),'评分录入'!AC35=0.5),1,0)+IF(AND(ISNUMBER('评分录入'!AC37),'评分录入'!AC37=0.5),1,0)</f>
        <v>0</v>
      </c>
      <c r="K11" s="6">
        <f>IF(AND(ISNUMBER('评分录入'!AC22),'评分录入'!AC22=0),1,0)+IF(AND(ISNUMBER('评分录入'!AC27),'评分录入'!AC27=0),1,0)+IF(AND(ISNUMBER('评分录入'!AC35),'评分录入'!AC35=0),1,0)+IF(AND(ISNUMBER('评分录入'!AC37),'评分录入'!AC37=0),1,0)</f>
        <v>0</v>
      </c>
      <c r="L11" s="6">
        <f>G11-H11</f>
        <v>0</v>
      </c>
      <c r="M11" s="7">
        <f>IF(H11=0,"",(I11+J11*0.5)/H11)</f>
        <v/>
      </c>
    </row>
    <row r="12" spans="1:13" ht="28" customHeight="1">
      <c r="A12" s="4" t="s">
        <v>81</v>
      </c>
      <c r="B12" s="4" t="s">
        <v>98</v>
      </c>
      <c r="C12" s="4" t="s">
        <v>83</v>
      </c>
      <c r="D12" s="4" t="s">
        <v>84</v>
      </c>
      <c r="E12" s="4" t="s">
        <v>122</v>
      </c>
      <c r="F12" s="4">
        <v>4</v>
      </c>
      <c r="G12" s="6">
        <f>IF('评分录入'!M22="纳入",1,0)+IF('评分录入'!M27="纳入",1,0)+IF('评分录入'!M35="纳入",1,0)+IF('评分录入'!M37="纳入",1,0)</f>
        <v>0</v>
      </c>
      <c r="H12" s="6">
        <f>IF(ISNUMBER('评分录入'!AD22),1,0)+IF(ISNUMBER('评分录入'!AD27),1,0)+IF(ISNUMBER('评分录入'!AD35),1,0)+IF(ISNUMBER('评分录入'!AD37),1,0)</f>
        <v>0</v>
      </c>
      <c r="I12" s="6">
        <f>IF(AND(ISNUMBER('评分录入'!AD22),'评分录入'!AD22=1),1,0)+IF(AND(ISNUMBER('评分录入'!AD27),'评分录入'!AD27=1),1,0)+IF(AND(ISNUMBER('评分录入'!AD35),'评分录入'!AD35=1),1,0)+IF(AND(ISNUMBER('评分录入'!AD37),'评分录入'!AD37=1),1,0)</f>
        <v>0</v>
      </c>
      <c r="J12" s="6">
        <f>IF(AND(ISNUMBER('评分录入'!AD22),'评分录入'!AD22=0.5),1,0)+IF(AND(ISNUMBER('评分录入'!AD27),'评分录入'!AD27=0.5),1,0)+IF(AND(ISNUMBER('评分录入'!AD35),'评分录入'!AD35=0.5),1,0)+IF(AND(ISNUMBER('评分录入'!AD37),'评分录入'!AD37=0.5),1,0)</f>
        <v>0</v>
      </c>
      <c r="K12" s="6">
        <f>IF(AND(ISNUMBER('评分录入'!AD22),'评分录入'!AD22=0),1,0)+IF(AND(ISNUMBER('评分录入'!AD27),'评分录入'!AD27=0),1,0)+IF(AND(ISNUMBER('评分录入'!AD35),'评分录入'!AD35=0),1,0)+IF(AND(ISNUMBER('评分录入'!AD37),'评分录入'!AD37=0),1,0)</f>
        <v>0</v>
      </c>
      <c r="L12" s="6">
        <f>G12-H12</f>
        <v>0</v>
      </c>
      <c r="M12" s="7">
        <f>IF(H12=0,"",(I12+J12*0.5)/H12)</f>
        <v/>
      </c>
    </row>
    <row r="13" spans="1:13" ht="28" customHeight="1">
      <c r="A13" s="4" t="s">
        <v>81</v>
      </c>
      <c r="B13" s="4" t="s">
        <v>95</v>
      </c>
      <c r="C13" s="4" t="s">
        <v>83</v>
      </c>
      <c r="D13" s="4" t="s">
        <v>84</v>
      </c>
      <c r="E13" s="4" t="s">
        <v>117</v>
      </c>
      <c r="F13" s="4">
        <v>2</v>
      </c>
      <c r="G13" s="6">
        <f>IF('评分录入'!M17="纳入",1,0)+IF('评分录入'!M58="纳入",1,0)</f>
        <v>0</v>
      </c>
      <c r="H13" s="6">
        <f>IF(ISNUMBER('评分录入'!T17),1,0)+IF(ISNUMBER('评分录入'!T58),1,0)</f>
        <v>0</v>
      </c>
      <c r="I13" s="6">
        <f>IF(AND(ISNUMBER('评分录入'!T17),'评分录入'!T17=1),1,0)+IF(AND(ISNUMBER('评分录入'!T58),'评分录入'!T58=1),1,0)</f>
        <v>0</v>
      </c>
      <c r="J13" s="6">
        <f>IF(AND(ISNUMBER('评分录入'!T17),'评分录入'!T17=0.5),1,0)+IF(AND(ISNUMBER('评分录入'!T58),'评分录入'!T58=0.5),1,0)</f>
        <v>0</v>
      </c>
      <c r="K13" s="6">
        <f>IF(AND(ISNUMBER('评分录入'!T17),'评分录入'!T17=0),1,0)+IF(AND(ISNUMBER('评分录入'!T58),'评分录入'!T58=0),1,0)</f>
        <v>0</v>
      </c>
      <c r="L13" s="6">
        <f>G13-H13</f>
        <v>0</v>
      </c>
      <c r="M13" s="7">
        <f>IF(H13=0,"",(I13+J13*0.5)/H13)</f>
        <v/>
      </c>
    </row>
    <row r="14" spans="1:13" ht="28" customHeight="1">
      <c r="A14" s="4" t="s">
        <v>81</v>
      </c>
      <c r="B14" s="4" t="s">
        <v>95</v>
      </c>
      <c r="C14" s="4" t="s">
        <v>83</v>
      </c>
      <c r="D14" s="4" t="s">
        <v>84</v>
      </c>
      <c r="E14" s="4" t="s">
        <v>118</v>
      </c>
      <c r="F14" s="4">
        <v>2</v>
      </c>
      <c r="G14" s="6">
        <f>IF('评分录入'!M17="纳入",1,0)+IF('评分录入'!M58="纳入",1,0)</f>
        <v>0</v>
      </c>
      <c r="H14" s="6">
        <f>IF(ISNUMBER('评分录入'!Z17),1,0)+IF(ISNUMBER('评分录入'!Z58),1,0)</f>
        <v>0</v>
      </c>
      <c r="I14" s="6">
        <f>IF(AND(ISNUMBER('评分录入'!Z17),'评分录入'!Z17=1),1,0)+IF(AND(ISNUMBER('评分录入'!Z58),'评分录入'!Z58=1),1,0)</f>
        <v>0</v>
      </c>
      <c r="J14" s="6">
        <f>IF(AND(ISNUMBER('评分录入'!Z17),'评分录入'!Z17=0.5),1,0)+IF(AND(ISNUMBER('评分录入'!Z58),'评分录入'!Z58=0.5),1,0)</f>
        <v>0</v>
      </c>
      <c r="K14" s="6">
        <f>IF(AND(ISNUMBER('评分录入'!Z17),'评分录入'!Z17=0),1,0)+IF(AND(ISNUMBER('评分录入'!Z58),'评分录入'!Z58=0),1,0)</f>
        <v>0</v>
      </c>
      <c r="L14" s="6">
        <f>G14-H14</f>
        <v>0</v>
      </c>
      <c r="M14" s="7">
        <f>IF(H14=0,"",(I14+J14*0.5)/H14)</f>
        <v/>
      </c>
    </row>
    <row r="15" spans="1:13" ht="28" customHeight="1">
      <c r="A15" s="4" t="s">
        <v>81</v>
      </c>
      <c r="B15" s="4" t="s">
        <v>95</v>
      </c>
      <c r="C15" s="4" t="s">
        <v>83</v>
      </c>
      <c r="D15" s="4" t="s">
        <v>84</v>
      </c>
      <c r="E15" s="4" t="s">
        <v>119</v>
      </c>
      <c r="F15" s="4">
        <v>2</v>
      </c>
      <c r="G15" s="6">
        <f>IF('评分录入'!M17="纳入",1,0)+IF('评分录入'!M58="纳入",1,0)</f>
        <v>0</v>
      </c>
      <c r="H15" s="6">
        <f>IF(ISNUMBER('评分录入'!AA17),1,0)+IF(ISNUMBER('评分录入'!AA58),1,0)</f>
        <v>0</v>
      </c>
      <c r="I15" s="6">
        <f>IF(AND(ISNUMBER('评分录入'!AA17),'评分录入'!AA17=1),1,0)+IF(AND(ISNUMBER('评分录入'!AA58),'评分录入'!AA58=1),1,0)</f>
        <v>0</v>
      </c>
      <c r="J15" s="6">
        <f>IF(AND(ISNUMBER('评分录入'!AA17),'评分录入'!AA17=0.5),1,0)+IF(AND(ISNUMBER('评分录入'!AA58),'评分录入'!AA58=0.5),1,0)</f>
        <v>0</v>
      </c>
      <c r="K15" s="6">
        <f>IF(AND(ISNUMBER('评分录入'!AA17),'评分录入'!AA17=0),1,0)+IF(AND(ISNUMBER('评分录入'!AA58),'评分录入'!AA58=0),1,0)</f>
        <v>0</v>
      </c>
      <c r="L15" s="6">
        <f>G15-H15</f>
        <v>0</v>
      </c>
      <c r="M15" s="7">
        <f>IF(H15=0,"",(I15+J15*0.5)/H15)</f>
        <v/>
      </c>
    </row>
    <row r="16" spans="1:13" ht="28" customHeight="1">
      <c r="A16" s="4" t="s">
        <v>81</v>
      </c>
      <c r="B16" s="4" t="s">
        <v>95</v>
      </c>
      <c r="C16" s="4" t="s">
        <v>83</v>
      </c>
      <c r="D16" s="4" t="s">
        <v>84</v>
      </c>
      <c r="E16" s="4" t="s">
        <v>120</v>
      </c>
      <c r="F16" s="4">
        <v>2</v>
      </c>
      <c r="G16" s="6">
        <f>IF('评分录入'!M17="纳入",1,0)+IF('评分录入'!M58="纳入",1,0)</f>
        <v>0</v>
      </c>
      <c r="H16" s="6">
        <f>IF(ISNUMBER('评分录入'!AB17),1,0)+IF(ISNUMBER('评分录入'!AB58),1,0)</f>
        <v>0</v>
      </c>
      <c r="I16" s="6">
        <f>IF(AND(ISNUMBER('评分录入'!AB17),'评分录入'!AB17=1),1,0)+IF(AND(ISNUMBER('评分录入'!AB58),'评分录入'!AB58=1),1,0)</f>
        <v>0</v>
      </c>
      <c r="J16" s="6">
        <f>IF(AND(ISNUMBER('评分录入'!AB17),'评分录入'!AB17=0.5),1,0)+IF(AND(ISNUMBER('评分录入'!AB58),'评分录入'!AB58=0.5),1,0)</f>
        <v>0</v>
      </c>
      <c r="K16" s="6">
        <f>IF(AND(ISNUMBER('评分录入'!AB17),'评分录入'!AB17=0),1,0)+IF(AND(ISNUMBER('评分录入'!AB58),'评分录入'!AB58=0),1,0)</f>
        <v>0</v>
      </c>
      <c r="L16" s="6">
        <f>G16-H16</f>
        <v>0</v>
      </c>
      <c r="M16" s="7">
        <f>IF(H16=0,"",(I16+J16*0.5)/H16)</f>
        <v/>
      </c>
    </row>
    <row r="17" spans="1:13" ht="28" customHeight="1">
      <c r="A17" s="4" t="s">
        <v>81</v>
      </c>
      <c r="B17" s="4" t="s">
        <v>95</v>
      </c>
      <c r="C17" s="4" t="s">
        <v>83</v>
      </c>
      <c r="D17" s="4" t="s">
        <v>84</v>
      </c>
      <c r="E17" s="4" t="s">
        <v>121</v>
      </c>
      <c r="F17" s="4">
        <v>2</v>
      </c>
      <c r="G17" s="6">
        <f>IF('评分录入'!M17="纳入",1,0)+IF('评分录入'!M58="纳入",1,0)</f>
        <v>0</v>
      </c>
      <c r="H17" s="6">
        <f>IF(ISNUMBER('评分录入'!AC17),1,0)+IF(ISNUMBER('评分录入'!AC58),1,0)</f>
        <v>0</v>
      </c>
      <c r="I17" s="6">
        <f>IF(AND(ISNUMBER('评分录入'!AC17),'评分录入'!AC17=1),1,0)+IF(AND(ISNUMBER('评分录入'!AC58),'评分录入'!AC58=1),1,0)</f>
        <v>0</v>
      </c>
      <c r="J17" s="6">
        <f>IF(AND(ISNUMBER('评分录入'!AC17),'评分录入'!AC17=0.5),1,0)+IF(AND(ISNUMBER('评分录入'!AC58),'评分录入'!AC58=0.5),1,0)</f>
        <v>0</v>
      </c>
      <c r="K17" s="6">
        <f>IF(AND(ISNUMBER('评分录入'!AC17),'评分录入'!AC17=0),1,0)+IF(AND(ISNUMBER('评分录入'!AC58),'评分录入'!AC58=0),1,0)</f>
        <v>0</v>
      </c>
      <c r="L17" s="6">
        <f>G17-H17</f>
        <v>0</v>
      </c>
      <c r="M17" s="7">
        <f>IF(H17=0,"",(I17+J17*0.5)/H17)</f>
        <v/>
      </c>
    </row>
    <row r="18" spans="1:13" ht="28" customHeight="1">
      <c r="A18" s="4" t="s">
        <v>81</v>
      </c>
      <c r="B18" s="4" t="s">
        <v>95</v>
      </c>
      <c r="C18" s="4" t="s">
        <v>83</v>
      </c>
      <c r="D18" s="4" t="s">
        <v>84</v>
      </c>
      <c r="E18" s="4" t="s">
        <v>122</v>
      </c>
      <c r="F18" s="4">
        <v>2</v>
      </c>
      <c r="G18" s="6">
        <f>IF('评分录入'!M17="纳入",1,0)+IF('评分录入'!M58="纳入",1,0)</f>
        <v>0</v>
      </c>
      <c r="H18" s="6">
        <f>IF(ISNUMBER('评分录入'!AD17),1,0)+IF(ISNUMBER('评分录入'!AD58),1,0)</f>
        <v>0</v>
      </c>
      <c r="I18" s="6">
        <f>IF(AND(ISNUMBER('评分录入'!AD17),'评分录入'!AD17=1),1,0)+IF(AND(ISNUMBER('评分录入'!AD58),'评分录入'!AD58=1),1,0)</f>
        <v>0</v>
      </c>
      <c r="J18" s="6">
        <f>IF(AND(ISNUMBER('评分录入'!AD17),'评分录入'!AD17=0.5),1,0)+IF(AND(ISNUMBER('评分录入'!AD58),'评分录入'!AD58=0.5),1,0)</f>
        <v>0</v>
      </c>
      <c r="K18" s="6">
        <f>IF(AND(ISNUMBER('评分录入'!AD17),'评分录入'!AD17=0),1,0)+IF(AND(ISNUMBER('评分录入'!AD58),'评分录入'!AD58=0),1,0)</f>
        <v>0</v>
      </c>
      <c r="L18" s="6">
        <f>G18-H18</f>
        <v>0</v>
      </c>
      <c r="M18" s="7">
        <f>IF(H18=0,"",(I18+J18*0.5)/H18)</f>
        <v/>
      </c>
    </row>
    <row r="19" spans="1:13" ht="28" customHeight="1">
      <c r="A19" s="4" t="s">
        <v>81</v>
      </c>
      <c r="B19" s="4" t="s">
        <v>82</v>
      </c>
      <c r="C19" s="4" t="s">
        <v>83</v>
      </c>
      <c r="D19" s="4" t="s">
        <v>84</v>
      </c>
      <c r="E19" s="4" t="s">
        <v>117</v>
      </c>
      <c r="F19" s="4">
        <v>2</v>
      </c>
      <c r="G19" s="6">
        <f>IF('评分录入'!M9="纳入",1,0)+IF('评分录入'!M53="纳入",1,0)</f>
        <v>0</v>
      </c>
      <c r="H19" s="6">
        <f>IF(ISNUMBER('评分录入'!T9),1,0)+IF(ISNUMBER('评分录入'!T53),1,0)</f>
        <v>0</v>
      </c>
      <c r="I19" s="6">
        <f>IF(AND(ISNUMBER('评分录入'!T9),'评分录入'!T9=1),1,0)+IF(AND(ISNUMBER('评分录入'!T53),'评分录入'!T53=1),1,0)</f>
        <v>0</v>
      </c>
      <c r="J19" s="6">
        <f>IF(AND(ISNUMBER('评分录入'!T9),'评分录入'!T9=0.5),1,0)+IF(AND(ISNUMBER('评分录入'!T53),'评分录入'!T53=0.5),1,0)</f>
        <v>0</v>
      </c>
      <c r="K19" s="6">
        <f>IF(AND(ISNUMBER('评分录入'!T9),'评分录入'!T9=0),1,0)+IF(AND(ISNUMBER('评分录入'!T53),'评分录入'!T53=0),1,0)</f>
        <v>0</v>
      </c>
      <c r="L19" s="6">
        <f>G19-H19</f>
        <v>0</v>
      </c>
      <c r="M19" s="7">
        <f>IF(H19=0,"",(I19+J19*0.5)/H19)</f>
        <v/>
      </c>
    </row>
    <row r="20" spans="1:13" ht="28" customHeight="1">
      <c r="A20" s="4" t="s">
        <v>81</v>
      </c>
      <c r="B20" s="4" t="s">
        <v>82</v>
      </c>
      <c r="C20" s="4" t="s">
        <v>83</v>
      </c>
      <c r="D20" s="4" t="s">
        <v>84</v>
      </c>
      <c r="E20" s="4" t="s">
        <v>118</v>
      </c>
      <c r="F20" s="4">
        <v>2</v>
      </c>
      <c r="G20" s="6">
        <f>IF('评分录入'!M9="纳入",1,0)+IF('评分录入'!M53="纳入",1,0)</f>
        <v>0</v>
      </c>
      <c r="H20" s="6">
        <f>IF(ISNUMBER('评分录入'!Z9),1,0)+IF(ISNUMBER('评分录入'!Z53),1,0)</f>
        <v>0</v>
      </c>
      <c r="I20" s="6">
        <f>IF(AND(ISNUMBER('评分录入'!Z9),'评分录入'!Z9=1),1,0)+IF(AND(ISNUMBER('评分录入'!Z53),'评分录入'!Z53=1),1,0)</f>
        <v>0</v>
      </c>
      <c r="J20" s="6">
        <f>IF(AND(ISNUMBER('评分录入'!Z9),'评分录入'!Z9=0.5),1,0)+IF(AND(ISNUMBER('评分录入'!Z53),'评分录入'!Z53=0.5),1,0)</f>
        <v>0</v>
      </c>
      <c r="K20" s="6">
        <f>IF(AND(ISNUMBER('评分录入'!Z9),'评分录入'!Z9=0),1,0)+IF(AND(ISNUMBER('评分录入'!Z53),'评分录入'!Z53=0),1,0)</f>
        <v>0</v>
      </c>
      <c r="L20" s="6">
        <f>G20-H20</f>
        <v>0</v>
      </c>
      <c r="M20" s="7">
        <f>IF(H20=0,"",(I20+J20*0.5)/H20)</f>
        <v/>
      </c>
    </row>
    <row r="21" spans="1:13" ht="28" customHeight="1">
      <c r="A21" s="4" t="s">
        <v>81</v>
      </c>
      <c r="B21" s="4" t="s">
        <v>82</v>
      </c>
      <c r="C21" s="4" t="s">
        <v>83</v>
      </c>
      <c r="D21" s="4" t="s">
        <v>84</v>
      </c>
      <c r="E21" s="4" t="s">
        <v>119</v>
      </c>
      <c r="F21" s="4">
        <v>2</v>
      </c>
      <c r="G21" s="6">
        <f>IF('评分录入'!M9="纳入",1,0)+IF('评分录入'!M53="纳入",1,0)</f>
        <v>0</v>
      </c>
      <c r="H21" s="6">
        <f>IF(ISNUMBER('评分录入'!AA9),1,0)+IF(ISNUMBER('评分录入'!AA53),1,0)</f>
        <v>0</v>
      </c>
      <c r="I21" s="6">
        <f>IF(AND(ISNUMBER('评分录入'!AA9),'评分录入'!AA9=1),1,0)+IF(AND(ISNUMBER('评分录入'!AA53),'评分录入'!AA53=1),1,0)</f>
        <v>0</v>
      </c>
      <c r="J21" s="6">
        <f>IF(AND(ISNUMBER('评分录入'!AA9),'评分录入'!AA9=0.5),1,0)+IF(AND(ISNUMBER('评分录入'!AA53),'评分录入'!AA53=0.5),1,0)</f>
        <v>0</v>
      </c>
      <c r="K21" s="6">
        <f>IF(AND(ISNUMBER('评分录入'!AA9),'评分录入'!AA9=0),1,0)+IF(AND(ISNUMBER('评分录入'!AA53),'评分录入'!AA53=0),1,0)</f>
        <v>0</v>
      </c>
      <c r="L21" s="6">
        <f>G21-H21</f>
        <v>0</v>
      </c>
      <c r="M21" s="7">
        <f>IF(H21=0,"",(I21+J21*0.5)/H21)</f>
        <v/>
      </c>
    </row>
    <row r="22" spans="1:13" ht="28" customHeight="1">
      <c r="A22" s="4" t="s">
        <v>81</v>
      </c>
      <c r="B22" s="4" t="s">
        <v>82</v>
      </c>
      <c r="C22" s="4" t="s">
        <v>83</v>
      </c>
      <c r="D22" s="4" t="s">
        <v>84</v>
      </c>
      <c r="E22" s="4" t="s">
        <v>120</v>
      </c>
      <c r="F22" s="4">
        <v>2</v>
      </c>
      <c r="G22" s="6">
        <f>IF('评分录入'!M9="纳入",1,0)+IF('评分录入'!M53="纳入",1,0)</f>
        <v>0</v>
      </c>
      <c r="H22" s="6">
        <f>IF(ISNUMBER('评分录入'!AB9),1,0)+IF(ISNUMBER('评分录入'!AB53),1,0)</f>
        <v>0</v>
      </c>
      <c r="I22" s="6">
        <f>IF(AND(ISNUMBER('评分录入'!AB9),'评分录入'!AB9=1),1,0)+IF(AND(ISNUMBER('评分录入'!AB53),'评分录入'!AB53=1),1,0)</f>
        <v>0</v>
      </c>
      <c r="J22" s="6">
        <f>IF(AND(ISNUMBER('评分录入'!AB9),'评分录入'!AB9=0.5),1,0)+IF(AND(ISNUMBER('评分录入'!AB53),'评分录入'!AB53=0.5),1,0)</f>
        <v>0</v>
      </c>
      <c r="K22" s="6">
        <f>IF(AND(ISNUMBER('评分录入'!AB9),'评分录入'!AB9=0),1,0)+IF(AND(ISNUMBER('评分录入'!AB53),'评分录入'!AB53=0),1,0)</f>
        <v>0</v>
      </c>
      <c r="L22" s="6">
        <f>G22-H22</f>
        <v>0</v>
      </c>
      <c r="M22" s="7">
        <f>IF(H22=0,"",(I22+J22*0.5)/H22)</f>
        <v/>
      </c>
    </row>
    <row r="23" spans="1:13" ht="28" customHeight="1">
      <c r="A23" s="4" t="s">
        <v>81</v>
      </c>
      <c r="B23" s="4" t="s">
        <v>82</v>
      </c>
      <c r="C23" s="4" t="s">
        <v>83</v>
      </c>
      <c r="D23" s="4" t="s">
        <v>84</v>
      </c>
      <c r="E23" s="4" t="s">
        <v>121</v>
      </c>
      <c r="F23" s="4">
        <v>2</v>
      </c>
      <c r="G23" s="6">
        <f>IF('评分录入'!M9="纳入",1,0)+IF('评分录入'!M53="纳入",1,0)</f>
        <v>0</v>
      </c>
      <c r="H23" s="6">
        <f>IF(ISNUMBER('评分录入'!AC9),1,0)+IF(ISNUMBER('评分录入'!AC53),1,0)</f>
        <v>0</v>
      </c>
      <c r="I23" s="6">
        <f>IF(AND(ISNUMBER('评分录入'!AC9),'评分录入'!AC9=1),1,0)+IF(AND(ISNUMBER('评分录入'!AC53),'评分录入'!AC53=1),1,0)</f>
        <v>0</v>
      </c>
      <c r="J23" s="6">
        <f>IF(AND(ISNUMBER('评分录入'!AC9),'评分录入'!AC9=0.5),1,0)+IF(AND(ISNUMBER('评分录入'!AC53),'评分录入'!AC53=0.5),1,0)</f>
        <v>0</v>
      </c>
      <c r="K23" s="6">
        <f>IF(AND(ISNUMBER('评分录入'!AC9),'评分录入'!AC9=0),1,0)+IF(AND(ISNUMBER('评分录入'!AC53),'评分录入'!AC53=0),1,0)</f>
        <v>0</v>
      </c>
      <c r="L23" s="6">
        <f>G23-H23</f>
        <v>0</v>
      </c>
      <c r="M23" s="7">
        <f>IF(H23=0,"",(I23+J23*0.5)/H23)</f>
        <v/>
      </c>
    </row>
    <row r="24" spans="1:13" ht="28" customHeight="1">
      <c r="A24" s="4" t="s">
        <v>81</v>
      </c>
      <c r="B24" s="4" t="s">
        <v>82</v>
      </c>
      <c r="C24" s="4" t="s">
        <v>83</v>
      </c>
      <c r="D24" s="4" t="s">
        <v>84</v>
      </c>
      <c r="E24" s="4" t="s">
        <v>122</v>
      </c>
      <c r="F24" s="4">
        <v>2</v>
      </c>
      <c r="G24" s="6">
        <f>IF('评分录入'!M9="纳入",1,0)+IF('评分录入'!M53="纳入",1,0)</f>
        <v>0</v>
      </c>
      <c r="H24" s="6">
        <f>IF(ISNUMBER('评分录入'!AD9),1,0)+IF(ISNUMBER('评分录入'!AD53),1,0)</f>
        <v>0</v>
      </c>
      <c r="I24" s="6">
        <f>IF(AND(ISNUMBER('评分录入'!AD9),'评分录入'!AD9=1),1,0)+IF(AND(ISNUMBER('评分录入'!AD53),'评分录入'!AD53=1),1,0)</f>
        <v>0</v>
      </c>
      <c r="J24" s="6">
        <f>IF(AND(ISNUMBER('评分录入'!AD9),'评分录入'!AD9=0.5),1,0)+IF(AND(ISNUMBER('评分录入'!AD53),'评分录入'!AD53=0.5),1,0)</f>
        <v>0</v>
      </c>
      <c r="K24" s="6">
        <f>IF(AND(ISNUMBER('评分录入'!AD9),'评分录入'!AD9=0),1,0)+IF(AND(ISNUMBER('评分录入'!AD53),'评分录入'!AD53=0),1,0)</f>
        <v>0</v>
      </c>
      <c r="L24" s="6">
        <f>G24-H24</f>
        <v>0</v>
      </c>
      <c r="M24" s="7">
        <f>IF(H24=0,"",(I24+J24*0.5)/H24)</f>
        <v/>
      </c>
    </row>
    <row r="25" spans="1:13" ht="28" customHeight="1">
      <c r="A25" s="4" t="s">
        <v>81</v>
      </c>
      <c r="B25" s="4" t="s">
        <v>91</v>
      </c>
      <c r="C25" s="4" t="s">
        <v>83</v>
      </c>
      <c r="D25" s="4" t="s">
        <v>84</v>
      </c>
      <c r="E25" s="4" t="s">
        <v>117</v>
      </c>
      <c r="F25" s="4">
        <v>2</v>
      </c>
      <c r="G25" s="6">
        <f>IF('评分录入'!M12="纳入",1,0)+IF('评分录入'!M48="纳入",1,0)</f>
        <v>0</v>
      </c>
      <c r="H25" s="6">
        <f>IF(ISNUMBER('评分录入'!T12),1,0)+IF(ISNUMBER('评分录入'!T48),1,0)</f>
        <v>0</v>
      </c>
      <c r="I25" s="6">
        <f>IF(AND(ISNUMBER('评分录入'!T12),'评分录入'!T12=1),1,0)+IF(AND(ISNUMBER('评分录入'!T48),'评分录入'!T48=1),1,0)</f>
        <v>0</v>
      </c>
      <c r="J25" s="6">
        <f>IF(AND(ISNUMBER('评分录入'!T12),'评分录入'!T12=0.5),1,0)+IF(AND(ISNUMBER('评分录入'!T48),'评分录入'!T48=0.5),1,0)</f>
        <v>0</v>
      </c>
      <c r="K25" s="6">
        <f>IF(AND(ISNUMBER('评分录入'!T12),'评分录入'!T12=0),1,0)+IF(AND(ISNUMBER('评分录入'!T48),'评分录入'!T48=0),1,0)</f>
        <v>0</v>
      </c>
      <c r="L25" s="6">
        <f>G25-H25</f>
        <v>0</v>
      </c>
      <c r="M25" s="7">
        <f>IF(H25=0,"",(I25+J25*0.5)/H25)</f>
        <v/>
      </c>
    </row>
    <row r="26" spans="1:13" ht="28" customHeight="1">
      <c r="A26" s="4" t="s">
        <v>81</v>
      </c>
      <c r="B26" s="4" t="s">
        <v>91</v>
      </c>
      <c r="C26" s="4" t="s">
        <v>83</v>
      </c>
      <c r="D26" s="4" t="s">
        <v>84</v>
      </c>
      <c r="E26" s="4" t="s">
        <v>118</v>
      </c>
      <c r="F26" s="4">
        <v>2</v>
      </c>
      <c r="G26" s="6">
        <f>IF('评分录入'!M12="纳入",1,0)+IF('评分录入'!M48="纳入",1,0)</f>
        <v>0</v>
      </c>
      <c r="H26" s="6">
        <f>IF(ISNUMBER('评分录入'!Z12),1,0)+IF(ISNUMBER('评分录入'!Z48),1,0)</f>
        <v>0</v>
      </c>
      <c r="I26" s="6">
        <f>IF(AND(ISNUMBER('评分录入'!Z12),'评分录入'!Z12=1),1,0)+IF(AND(ISNUMBER('评分录入'!Z48),'评分录入'!Z48=1),1,0)</f>
        <v>0</v>
      </c>
      <c r="J26" s="6">
        <f>IF(AND(ISNUMBER('评分录入'!Z12),'评分录入'!Z12=0.5),1,0)+IF(AND(ISNUMBER('评分录入'!Z48),'评分录入'!Z48=0.5),1,0)</f>
        <v>0</v>
      </c>
      <c r="K26" s="6">
        <f>IF(AND(ISNUMBER('评分录入'!Z12),'评分录入'!Z12=0),1,0)+IF(AND(ISNUMBER('评分录入'!Z48),'评分录入'!Z48=0),1,0)</f>
        <v>0</v>
      </c>
      <c r="L26" s="6">
        <f>G26-H26</f>
        <v>0</v>
      </c>
      <c r="M26" s="7">
        <f>IF(H26=0,"",(I26+J26*0.5)/H26)</f>
        <v/>
      </c>
    </row>
    <row r="27" spans="1:13" ht="28" customHeight="1">
      <c r="A27" s="4" t="s">
        <v>81</v>
      </c>
      <c r="B27" s="4" t="s">
        <v>91</v>
      </c>
      <c r="C27" s="4" t="s">
        <v>83</v>
      </c>
      <c r="D27" s="4" t="s">
        <v>84</v>
      </c>
      <c r="E27" s="4" t="s">
        <v>119</v>
      </c>
      <c r="F27" s="4">
        <v>2</v>
      </c>
      <c r="G27" s="6">
        <f>IF('评分录入'!M12="纳入",1,0)+IF('评分录入'!M48="纳入",1,0)</f>
        <v>0</v>
      </c>
      <c r="H27" s="6">
        <f>IF(ISNUMBER('评分录入'!AA12),1,0)+IF(ISNUMBER('评分录入'!AA48),1,0)</f>
        <v>0</v>
      </c>
      <c r="I27" s="6">
        <f>IF(AND(ISNUMBER('评分录入'!AA12),'评分录入'!AA12=1),1,0)+IF(AND(ISNUMBER('评分录入'!AA48),'评分录入'!AA48=1),1,0)</f>
        <v>0</v>
      </c>
      <c r="J27" s="6">
        <f>IF(AND(ISNUMBER('评分录入'!AA12),'评分录入'!AA12=0.5),1,0)+IF(AND(ISNUMBER('评分录入'!AA48),'评分录入'!AA48=0.5),1,0)</f>
        <v>0</v>
      </c>
      <c r="K27" s="6">
        <f>IF(AND(ISNUMBER('评分录入'!AA12),'评分录入'!AA12=0),1,0)+IF(AND(ISNUMBER('评分录入'!AA48),'评分录入'!AA48=0),1,0)</f>
        <v>0</v>
      </c>
      <c r="L27" s="6">
        <f>G27-H27</f>
        <v>0</v>
      </c>
      <c r="M27" s="7">
        <f>IF(H27=0,"",(I27+J27*0.5)/H27)</f>
        <v/>
      </c>
    </row>
    <row r="28" spans="1:13" ht="28" customHeight="1">
      <c r="A28" s="4" t="s">
        <v>81</v>
      </c>
      <c r="B28" s="4" t="s">
        <v>91</v>
      </c>
      <c r="C28" s="4" t="s">
        <v>83</v>
      </c>
      <c r="D28" s="4" t="s">
        <v>84</v>
      </c>
      <c r="E28" s="4" t="s">
        <v>120</v>
      </c>
      <c r="F28" s="4">
        <v>2</v>
      </c>
      <c r="G28" s="6">
        <f>IF('评分录入'!M12="纳入",1,0)+IF('评分录入'!M48="纳入",1,0)</f>
        <v>0</v>
      </c>
      <c r="H28" s="6">
        <f>IF(ISNUMBER('评分录入'!AB12),1,0)+IF(ISNUMBER('评分录入'!AB48),1,0)</f>
        <v>0</v>
      </c>
      <c r="I28" s="6">
        <f>IF(AND(ISNUMBER('评分录入'!AB12),'评分录入'!AB12=1),1,0)+IF(AND(ISNUMBER('评分录入'!AB48),'评分录入'!AB48=1),1,0)</f>
        <v>0</v>
      </c>
      <c r="J28" s="6">
        <f>IF(AND(ISNUMBER('评分录入'!AB12),'评分录入'!AB12=0.5),1,0)+IF(AND(ISNUMBER('评分录入'!AB48),'评分录入'!AB48=0.5),1,0)</f>
        <v>0</v>
      </c>
      <c r="K28" s="6">
        <f>IF(AND(ISNUMBER('评分录入'!AB12),'评分录入'!AB12=0),1,0)+IF(AND(ISNUMBER('评分录入'!AB48),'评分录入'!AB48=0),1,0)</f>
        <v>0</v>
      </c>
      <c r="L28" s="6">
        <f>G28-H28</f>
        <v>0</v>
      </c>
      <c r="M28" s="7">
        <f>IF(H28=0,"",(I28+J28*0.5)/H28)</f>
        <v/>
      </c>
    </row>
    <row r="29" spans="1:13" ht="28" customHeight="1">
      <c r="A29" s="4" t="s">
        <v>81</v>
      </c>
      <c r="B29" s="4" t="s">
        <v>91</v>
      </c>
      <c r="C29" s="4" t="s">
        <v>83</v>
      </c>
      <c r="D29" s="4" t="s">
        <v>84</v>
      </c>
      <c r="E29" s="4" t="s">
        <v>121</v>
      </c>
      <c r="F29" s="4">
        <v>2</v>
      </c>
      <c r="G29" s="6">
        <f>IF('评分录入'!M12="纳入",1,0)+IF('评分录入'!M48="纳入",1,0)</f>
        <v>0</v>
      </c>
      <c r="H29" s="6">
        <f>IF(ISNUMBER('评分录入'!AC12),1,0)+IF(ISNUMBER('评分录入'!AC48),1,0)</f>
        <v>0</v>
      </c>
      <c r="I29" s="6">
        <f>IF(AND(ISNUMBER('评分录入'!AC12),'评分录入'!AC12=1),1,0)+IF(AND(ISNUMBER('评分录入'!AC48),'评分录入'!AC48=1),1,0)</f>
        <v>0</v>
      </c>
      <c r="J29" s="6">
        <f>IF(AND(ISNUMBER('评分录入'!AC12),'评分录入'!AC12=0.5),1,0)+IF(AND(ISNUMBER('评分录入'!AC48),'评分录入'!AC48=0.5),1,0)</f>
        <v>0</v>
      </c>
      <c r="K29" s="6">
        <f>IF(AND(ISNUMBER('评分录入'!AC12),'评分录入'!AC12=0),1,0)+IF(AND(ISNUMBER('评分录入'!AC48),'评分录入'!AC48=0),1,0)</f>
        <v>0</v>
      </c>
      <c r="L29" s="6">
        <f>G29-H29</f>
        <v>0</v>
      </c>
      <c r="M29" s="7">
        <f>IF(H29=0,"",(I29+J29*0.5)/H29)</f>
        <v/>
      </c>
    </row>
    <row r="30" spans="1:13" ht="28" customHeight="1">
      <c r="A30" s="4" t="s">
        <v>81</v>
      </c>
      <c r="B30" s="4" t="s">
        <v>91</v>
      </c>
      <c r="C30" s="4" t="s">
        <v>83</v>
      </c>
      <c r="D30" s="4" t="s">
        <v>84</v>
      </c>
      <c r="E30" s="4" t="s">
        <v>122</v>
      </c>
      <c r="F30" s="4">
        <v>2</v>
      </c>
      <c r="G30" s="6">
        <f>IF('评分录入'!M12="纳入",1,0)+IF('评分录入'!M48="纳入",1,0)</f>
        <v>0</v>
      </c>
      <c r="H30" s="6">
        <f>IF(ISNUMBER('评分录入'!AD12),1,0)+IF(ISNUMBER('评分录入'!AD48),1,0)</f>
        <v>0</v>
      </c>
      <c r="I30" s="6">
        <f>IF(AND(ISNUMBER('评分录入'!AD12),'评分录入'!AD12=1),1,0)+IF(AND(ISNUMBER('评分录入'!AD48),'评分录入'!AD48=1),1,0)</f>
        <v>0</v>
      </c>
      <c r="J30" s="6">
        <f>IF(AND(ISNUMBER('评分录入'!AD12),'评分录入'!AD12=0.5),1,0)+IF(AND(ISNUMBER('评分录入'!AD48),'评分录入'!AD48=0.5),1,0)</f>
        <v>0</v>
      </c>
      <c r="K30" s="6">
        <f>IF(AND(ISNUMBER('评分录入'!AD12),'评分录入'!AD12=0),1,0)+IF(AND(ISNUMBER('评分录入'!AD48),'评分录入'!AD48=0),1,0)</f>
        <v>0</v>
      </c>
      <c r="L30" s="6">
        <f>G30-H30</f>
        <v>0</v>
      </c>
      <c r="M30" s="7">
        <f>IF(H30=0,"",(I30+J30*0.5)/H30)</f>
        <v/>
      </c>
    </row>
    <row r="31" spans="1:13" ht="28" customHeight="1">
      <c r="A31" s="4" t="s">
        <v>81</v>
      </c>
      <c r="B31" s="4" t="s">
        <v>104</v>
      </c>
      <c r="C31" s="4" t="s">
        <v>83</v>
      </c>
      <c r="D31" s="4" t="s">
        <v>84</v>
      </c>
      <c r="E31" s="4" t="s">
        <v>117</v>
      </c>
      <c r="F31" s="4">
        <v>2</v>
      </c>
      <c r="G31" s="6">
        <f>IF('评分录入'!M40="纳入",1,0)+IF('评分录入'!M71="纳入",1,0)</f>
        <v>0</v>
      </c>
      <c r="H31" s="6">
        <f>IF(ISNUMBER('评分录入'!T40),1,0)+IF(ISNUMBER('评分录入'!T71),1,0)</f>
        <v>0</v>
      </c>
      <c r="I31" s="6">
        <f>IF(AND(ISNUMBER('评分录入'!T40),'评分录入'!T40=1),1,0)+IF(AND(ISNUMBER('评分录入'!T71),'评分录入'!T71=1),1,0)</f>
        <v>0</v>
      </c>
      <c r="J31" s="6">
        <f>IF(AND(ISNUMBER('评分录入'!T40),'评分录入'!T40=0.5),1,0)+IF(AND(ISNUMBER('评分录入'!T71),'评分录入'!T71=0.5),1,0)</f>
        <v>0</v>
      </c>
      <c r="K31" s="6">
        <f>IF(AND(ISNUMBER('评分录入'!T40),'评分录入'!T40=0),1,0)+IF(AND(ISNUMBER('评分录入'!T71),'评分录入'!T71=0),1,0)</f>
        <v>0</v>
      </c>
      <c r="L31" s="6">
        <f>G31-H31</f>
        <v>0</v>
      </c>
      <c r="M31" s="7">
        <f>IF(H31=0,"",(I31+J31*0.5)/H31)</f>
        <v/>
      </c>
    </row>
    <row r="32" spans="1:13" ht="28" customHeight="1">
      <c r="A32" s="4" t="s">
        <v>81</v>
      </c>
      <c r="B32" s="4" t="s">
        <v>104</v>
      </c>
      <c r="C32" s="4" t="s">
        <v>83</v>
      </c>
      <c r="D32" s="4" t="s">
        <v>84</v>
      </c>
      <c r="E32" s="4" t="s">
        <v>118</v>
      </c>
      <c r="F32" s="4">
        <v>2</v>
      </c>
      <c r="G32" s="6">
        <f>IF('评分录入'!M40="纳入",1,0)+IF('评分录入'!M71="纳入",1,0)</f>
        <v>0</v>
      </c>
      <c r="H32" s="6">
        <f>IF(ISNUMBER('评分录入'!Z40),1,0)+IF(ISNUMBER('评分录入'!Z71),1,0)</f>
        <v>0</v>
      </c>
      <c r="I32" s="6">
        <f>IF(AND(ISNUMBER('评分录入'!Z40),'评分录入'!Z40=1),1,0)+IF(AND(ISNUMBER('评分录入'!Z71),'评分录入'!Z71=1),1,0)</f>
        <v>0</v>
      </c>
      <c r="J32" s="6">
        <f>IF(AND(ISNUMBER('评分录入'!Z40),'评分录入'!Z40=0.5),1,0)+IF(AND(ISNUMBER('评分录入'!Z71),'评分录入'!Z71=0.5),1,0)</f>
        <v>0</v>
      </c>
      <c r="K32" s="6">
        <f>IF(AND(ISNUMBER('评分录入'!Z40),'评分录入'!Z40=0),1,0)+IF(AND(ISNUMBER('评分录入'!Z71),'评分录入'!Z71=0),1,0)</f>
        <v>0</v>
      </c>
      <c r="L32" s="6">
        <f>G32-H32</f>
        <v>0</v>
      </c>
      <c r="M32" s="7">
        <f>IF(H32=0,"",(I32+J32*0.5)/H32)</f>
        <v/>
      </c>
    </row>
    <row r="33" spans="1:13" ht="28" customHeight="1">
      <c r="A33" s="4" t="s">
        <v>81</v>
      </c>
      <c r="B33" s="4" t="s">
        <v>104</v>
      </c>
      <c r="C33" s="4" t="s">
        <v>83</v>
      </c>
      <c r="D33" s="4" t="s">
        <v>84</v>
      </c>
      <c r="E33" s="4" t="s">
        <v>119</v>
      </c>
      <c r="F33" s="4">
        <v>2</v>
      </c>
      <c r="G33" s="6">
        <f>IF('评分录入'!M40="纳入",1,0)+IF('评分录入'!M71="纳入",1,0)</f>
        <v>0</v>
      </c>
      <c r="H33" s="6">
        <f>IF(ISNUMBER('评分录入'!AA40),1,0)+IF(ISNUMBER('评分录入'!AA71),1,0)</f>
        <v>0</v>
      </c>
      <c r="I33" s="6">
        <f>IF(AND(ISNUMBER('评分录入'!AA40),'评分录入'!AA40=1),1,0)+IF(AND(ISNUMBER('评分录入'!AA71),'评分录入'!AA71=1),1,0)</f>
        <v>0</v>
      </c>
      <c r="J33" s="6">
        <f>IF(AND(ISNUMBER('评分录入'!AA40),'评分录入'!AA40=0.5),1,0)+IF(AND(ISNUMBER('评分录入'!AA71),'评分录入'!AA71=0.5),1,0)</f>
        <v>0</v>
      </c>
      <c r="K33" s="6">
        <f>IF(AND(ISNUMBER('评分录入'!AA40),'评分录入'!AA40=0),1,0)+IF(AND(ISNUMBER('评分录入'!AA71),'评分录入'!AA71=0),1,0)</f>
        <v>0</v>
      </c>
      <c r="L33" s="6">
        <f>G33-H33</f>
        <v>0</v>
      </c>
      <c r="M33" s="7">
        <f>IF(H33=0,"",(I33+J33*0.5)/H33)</f>
        <v/>
      </c>
    </row>
    <row r="34" spans="1:13" ht="28" customHeight="1">
      <c r="A34" s="4" t="s">
        <v>81</v>
      </c>
      <c r="B34" s="4" t="s">
        <v>104</v>
      </c>
      <c r="C34" s="4" t="s">
        <v>83</v>
      </c>
      <c r="D34" s="4" t="s">
        <v>84</v>
      </c>
      <c r="E34" s="4" t="s">
        <v>120</v>
      </c>
      <c r="F34" s="4">
        <v>2</v>
      </c>
      <c r="G34" s="6">
        <f>IF('评分录入'!M40="纳入",1,0)+IF('评分录入'!M71="纳入",1,0)</f>
        <v>0</v>
      </c>
      <c r="H34" s="6">
        <f>IF(ISNUMBER('评分录入'!AB40),1,0)+IF(ISNUMBER('评分录入'!AB71),1,0)</f>
        <v>0</v>
      </c>
      <c r="I34" s="6">
        <f>IF(AND(ISNUMBER('评分录入'!AB40),'评分录入'!AB40=1),1,0)+IF(AND(ISNUMBER('评分录入'!AB71),'评分录入'!AB71=1),1,0)</f>
        <v>0</v>
      </c>
      <c r="J34" s="6">
        <f>IF(AND(ISNUMBER('评分录入'!AB40),'评分录入'!AB40=0.5),1,0)+IF(AND(ISNUMBER('评分录入'!AB71),'评分录入'!AB71=0.5),1,0)</f>
        <v>0</v>
      </c>
      <c r="K34" s="6">
        <f>IF(AND(ISNUMBER('评分录入'!AB40),'评分录入'!AB40=0),1,0)+IF(AND(ISNUMBER('评分录入'!AB71),'评分录入'!AB71=0),1,0)</f>
        <v>0</v>
      </c>
      <c r="L34" s="6">
        <f>G34-H34</f>
        <v>0</v>
      </c>
      <c r="M34" s="7">
        <f>IF(H34=0,"",(I34+J34*0.5)/H34)</f>
        <v/>
      </c>
    </row>
    <row r="35" spans="1:13" ht="28" customHeight="1">
      <c r="A35" s="4" t="s">
        <v>81</v>
      </c>
      <c r="B35" s="4" t="s">
        <v>104</v>
      </c>
      <c r="C35" s="4" t="s">
        <v>83</v>
      </c>
      <c r="D35" s="4" t="s">
        <v>84</v>
      </c>
      <c r="E35" s="4" t="s">
        <v>121</v>
      </c>
      <c r="F35" s="4">
        <v>2</v>
      </c>
      <c r="G35" s="6">
        <f>IF('评分录入'!M40="纳入",1,0)+IF('评分录入'!M71="纳入",1,0)</f>
        <v>0</v>
      </c>
      <c r="H35" s="6">
        <f>IF(ISNUMBER('评分录入'!AC40),1,0)+IF(ISNUMBER('评分录入'!AC71),1,0)</f>
        <v>0</v>
      </c>
      <c r="I35" s="6">
        <f>IF(AND(ISNUMBER('评分录入'!AC40),'评分录入'!AC40=1),1,0)+IF(AND(ISNUMBER('评分录入'!AC71),'评分录入'!AC71=1),1,0)</f>
        <v>0</v>
      </c>
      <c r="J35" s="6">
        <f>IF(AND(ISNUMBER('评分录入'!AC40),'评分录入'!AC40=0.5),1,0)+IF(AND(ISNUMBER('评分录入'!AC71),'评分录入'!AC71=0.5),1,0)</f>
        <v>0</v>
      </c>
      <c r="K35" s="6">
        <f>IF(AND(ISNUMBER('评分录入'!AC40),'评分录入'!AC40=0),1,0)+IF(AND(ISNUMBER('评分录入'!AC71),'评分录入'!AC71=0),1,0)</f>
        <v>0</v>
      </c>
      <c r="L35" s="6">
        <f>G35-H35</f>
        <v>0</v>
      </c>
      <c r="M35" s="7">
        <f>IF(H35=0,"",(I35+J35*0.5)/H35)</f>
        <v/>
      </c>
    </row>
    <row r="36" spans="1:13" ht="28" customHeight="1">
      <c r="A36" s="4" t="s">
        <v>81</v>
      </c>
      <c r="B36" s="4" t="s">
        <v>104</v>
      </c>
      <c r="C36" s="4" t="s">
        <v>83</v>
      </c>
      <c r="D36" s="4" t="s">
        <v>84</v>
      </c>
      <c r="E36" s="4" t="s">
        <v>122</v>
      </c>
      <c r="F36" s="4">
        <v>2</v>
      </c>
      <c r="G36" s="6">
        <f>IF('评分录入'!M40="纳入",1,0)+IF('评分录入'!M71="纳入",1,0)</f>
        <v>0</v>
      </c>
      <c r="H36" s="6">
        <f>IF(ISNUMBER('评分录入'!AD40),1,0)+IF(ISNUMBER('评分录入'!AD71),1,0)</f>
        <v>0</v>
      </c>
      <c r="I36" s="6">
        <f>IF(AND(ISNUMBER('评分录入'!AD40),'评分录入'!AD40=1),1,0)+IF(AND(ISNUMBER('评分录入'!AD71),'评分录入'!AD71=1),1,0)</f>
        <v>0</v>
      </c>
      <c r="J36" s="6">
        <f>IF(AND(ISNUMBER('评分录入'!AD40),'评分录入'!AD40=0.5),1,0)+IF(AND(ISNUMBER('评分录入'!AD71),'评分录入'!AD71=0.5),1,0)</f>
        <v>0</v>
      </c>
      <c r="K36" s="6">
        <f>IF(AND(ISNUMBER('评分录入'!AD40),'评分录入'!AD40=0),1,0)+IF(AND(ISNUMBER('评分录入'!AD71),'评分录入'!AD71=0),1,0)</f>
        <v>0</v>
      </c>
      <c r="L36" s="6">
        <f>G36-H36</f>
        <v>0</v>
      </c>
      <c r="M36" s="7">
        <f>IF(H36=0,"",(I36+J36*0.5)/H36)</f>
        <v/>
      </c>
    </row>
    <row r="37" spans="1:13" ht="28" customHeight="1">
      <c r="A37" s="4" t="s">
        <v>81</v>
      </c>
      <c r="B37" s="4" t="s">
        <v>102</v>
      </c>
      <c r="C37" s="4" t="s">
        <v>83</v>
      </c>
      <c r="D37" s="4" t="s">
        <v>84</v>
      </c>
      <c r="E37" s="4" t="s">
        <v>117</v>
      </c>
      <c r="F37" s="4">
        <v>2</v>
      </c>
      <c r="G37" s="6">
        <f>IF('评分录入'!M32="纳入",1,0)+IF('评分录入'!M50="纳入",1,0)</f>
        <v>0</v>
      </c>
      <c r="H37" s="6">
        <f>IF(ISNUMBER('评分录入'!T32),1,0)+IF(ISNUMBER('评分录入'!T50),1,0)</f>
        <v>0</v>
      </c>
      <c r="I37" s="6">
        <f>IF(AND(ISNUMBER('评分录入'!T32),'评分录入'!T32=1),1,0)+IF(AND(ISNUMBER('评分录入'!T50),'评分录入'!T50=1),1,0)</f>
        <v>0</v>
      </c>
      <c r="J37" s="6">
        <f>IF(AND(ISNUMBER('评分录入'!T32),'评分录入'!T32=0.5),1,0)+IF(AND(ISNUMBER('评分录入'!T50),'评分录入'!T50=0.5),1,0)</f>
        <v>0</v>
      </c>
      <c r="K37" s="6">
        <f>IF(AND(ISNUMBER('评分录入'!T32),'评分录入'!T32=0),1,0)+IF(AND(ISNUMBER('评分录入'!T50),'评分录入'!T50=0),1,0)</f>
        <v>0</v>
      </c>
      <c r="L37" s="6">
        <f>G37-H37</f>
        <v>0</v>
      </c>
      <c r="M37" s="7">
        <f>IF(H37=0,"",(I37+J37*0.5)/H37)</f>
        <v/>
      </c>
    </row>
    <row r="38" spans="1:13" ht="28" customHeight="1">
      <c r="A38" s="4" t="s">
        <v>81</v>
      </c>
      <c r="B38" s="4" t="s">
        <v>102</v>
      </c>
      <c r="C38" s="4" t="s">
        <v>83</v>
      </c>
      <c r="D38" s="4" t="s">
        <v>84</v>
      </c>
      <c r="E38" s="4" t="s">
        <v>118</v>
      </c>
      <c r="F38" s="4">
        <v>2</v>
      </c>
      <c r="G38" s="6">
        <f>IF('评分录入'!M32="纳入",1,0)+IF('评分录入'!M50="纳入",1,0)</f>
        <v>0</v>
      </c>
      <c r="H38" s="6">
        <f>IF(ISNUMBER('评分录入'!Z32),1,0)+IF(ISNUMBER('评分录入'!Z50),1,0)</f>
        <v>0</v>
      </c>
      <c r="I38" s="6">
        <f>IF(AND(ISNUMBER('评分录入'!Z32),'评分录入'!Z32=1),1,0)+IF(AND(ISNUMBER('评分录入'!Z50),'评分录入'!Z50=1),1,0)</f>
        <v>0</v>
      </c>
      <c r="J38" s="6">
        <f>IF(AND(ISNUMBER('评分录入'!Z32),'评分录入'!Z32=0.5),1,0)+IF(AND(ISNUMBER('评分录入'!Z50),'评分录入'!Z50=0.5),1,0)</f>
        <v>0</v>
      </c>
      <c r="K38" s="6">
        <f>IF(AND(ISNUMBER('评分录入'!Z32),'评分录入'!Z32=0),1,0)+IF(AND(ISNUMBER('评分录入'!Z50),'评分录入'!Z50=0),1,0)</f>
        <v>0</v>
      </c>
      <c r="L38" s="6">
        <f>G38-H38</f>
        <v>0</v>
      </c>
      <c r="M38" s="7">
        <f>IF(H38=0,"",(I38+J38*0.5)/H38)</f>
        <v/>
      </c>
    </row>
    <row r="39" spans="1:13" ht="28" customHeight="1">
      <c r="A39" s="4" t="s">
        <v>81</v>
      </c>
      <c r="B39" s="4" t="s">
        <v>102</v>
      </c>
      <c r="C39" s="4" t="s">
        <v>83</v>
      </c>
      <c r="D39" s="4" t="s">
        <v>84</v>
      </c>
      <c r="E39" s="4" t="s">
        <v>119</v>
      </c>
      <c r="F39" s="4">
        <v>2</v>
      </c>
      <c r="G39" s="6">
        <f>IF('评分录入'!M32="纳入",1,0)+IF('评分录入'!M50="纳入",1,0)</f>
        <v>0</v>
      </c>
      <c r="H39" s="6">
        <f>IF(ISNUMBER('评分录入'!AA32),1,0)+IF(ISNUMBER('评分录入'!AA50),1,0)</f>
        <v>0</v>
      </c>
      <c r="I39" s="6">
        <f>IF(AND(ISNUMBER('评分录入'!AA32),'评分录入'!AA32=1),1,0)+IF(AND(ISNUMBER('评分录入'!AA50),'评分录入'!AA50=1),1,0)</f>
        <v>0</v>
      </c>
      <c r="J39" s="6">
        <f>IF(AND(ISNUMBER('评分录入'!AA32),'评分录入'!AA32=0.5),1,0)+IF(AND(ISNUMBER('评分录入'!AA50),'评分录入'!AA50=0.5),1,0)</f>
        <v>0</v>
      </c>
      <c r="K39" s="6">
        <f>IF(AND(ISNUMBER('评分录入'!AA32),'评分录入'!AA32=0),1,0)+IF(AND(ISNUMBER('评分录入'!AA50),'评分录入'!AA50=0),1,0)</f>
        <v>0</v>
      </c>
      <c r="L39" s="6">
        <f>G39-H39</f>
        <v>0</v>
      </c>
      <c r="M39" s="7">
        <f>IF(H39=0,"",(I39+J39*0.5)/H39)</f>
        <v/>
      </c>
    </row>
    <row r="40" spans="1:13" ht="28" customHeight="1">
      <c r="A40" s="4" t="s">
        <v>81</v>
      </c>
      <c r="B40" s="4" t="s">
        <v>102</v>
      </c>
      <c r="C40" s="4" t="s">
        <v>83</v>
      </c>
      <c r="D40" s="4" t="s">
        <v>84</v>
      </c>
      <c r="E40" s="4" t="s">
        <v>120</v>
      </c>
      <c r="F40" s="4">
        <v>2</v>
      </c>
      <c r="G40" s="6">
        <f>IF('评分录入'!M32="纳入",1,0)+IF('评分录入'!M50="纳入",1,0)</f>
        <v>0</v>
      </c>
      <c r="H40" s="6">
        <f>IF(ISNUMBER('评分录入'!AB32),1,0)+IF(ISNUMBER('评分录入'!AB50),1,0)</f>
        <v>0</v>
      </c>
      <c r="I40" s="6">
        <f>IF(AND(ISNUMBER('评分录入'!AB32),'评分录入'!AB32=1),1,0)+IF(AND(ISNUMBER('评分录入'!AB50),'评分录入'!AB50=1),1,0)</f>
        <v>0</v>
      </c>
      <c r="J40" s="6">
        <f>IF(AND(ISNUMBER('评分录入'!AB32),'评分录入'!AB32=0.5),1,0)+IF(AND(ISNUMBER('评分录入'!AB50),'评分录入'!AB50=0.5),1,0)</f>
        <v>0</v>
      </c>
      <c r="K40" s="6">
        <f>IF(AND(ISNUMBER('评分录入'!AB32),'评分录入'!AB32=0),1,0)+IF(AND(ISNUMBER('评分录入'!AB50),'评分录入'!AB50=0),1,0)</f>
        <v>0</v>
      </c>
      <c r="L40" s="6">
        <f>G40-H40</f>
        <v>0</v>
      </c>
      <c r="M40" s="7">
        <f>IF(H40=0,"",(I40+J40*0.5)/H40)</f>
        <v/>
      </c>
    </row>
    <row r="41" spans="1:13" ht="28" customHeight="1">
      <c r="A41" s="4" t="s">
        <v>81</v>
      </c>
      <c r="B41" s="4" t="s">
        <v>102</v>
      </c>
      <c r="C41" s="4" t="s">
        <v>83</v>
      </c>
      <c r="D41" s="4" t="s">
        <v>84</v>
      </c>
      <c r="E41" s="4" t="s">
        <v>121</v>
      </c>
      <c r="F41" s="4">
        <v>2</v>
      </c>
      <c r="G41" s="6">
        <f>IF('评分录入'!M32="纳入",1,0)+IF('评分录入'!M50="纳入",1,0)</f>
        <v>0</v>
      </c>
      <c r="H41" s="6">
        <f>IF(ISNUMBER('评分录入'!AC32),1,0)+IF(ISNUMBER('评分录入'!AC50),1,0)</f>
        <v>0</v>
      </c>
      <c r="I41" s="6">
        <f>IF(AND(ISNUMBER('评分录入'!AC32),'评分录入'!AC32=1),1,0)+IF(AND(ISNUMBER('评分录入'!AC50),'评分录入'!AC50=1),1,0)</f>
        <v>0</v>
      </c>
      <c r="J41" s="6">
        <f>IF(AND(ISNUMBER('评分录入'!AC32),'评分录入'!AC32=0.5),1,0)+IF(AND(ISNUMBER('评分录入'!AC50),'评分录入'!AC50=0.5),1,0)</f>
        <v>0</v>
      </c>
      <c r="K41" s="6">
        <f>IF(AND(ISNUMBER('评分录入'!AC32),'评分录入'!AC32=0),1,0)+IF(AND(ISNUMBER('评分录入'!AC50),'评分录入'!AC50=0),1,0)</f>
        <v>0</v>
      </c>
      <c r="L41" s="6">
        <f>G41-H41</f>
        <v>0</v>
      </c>
      <c r="M41" s="7">
        <f>IF(H41=0,"",(I41+J41*0.5)/H41)</f>
        <v/>
      </c>
    </row>
    <row r="42" spans="1:13" ht="28" customHeight="1">
      <c r="A42" s="4" t="s">
        <v>81</v>
      </c>
      <c r="B42" s="4" t="s">
        <v>102</v>
      </c>
      <c r="C42" s="4" t="s">
        <v>83</v>
      </c>
      <c r="D42" s="4" t="s">
        <v>84</v>
      </c>
      <c r="E42" s="4" t="s">
        <v>122</v>
      </c>
      <c r="F42" s="4">
        <v>2</v>
      </c>
      <c r="G42" s="6">
        <f>IF('评分录入'!M32="纳入",1,0)+IF('评分录入'!M50="纳入",1,0)</f>
        <v>0</v>
      </c>
      <c r="H42" s="6">
        <f>IF(ISNUMBER('评分录入'!AD32),1,0)+IF(ISNUMBER('评分录入'!AD50),1,0)</f>
        <v>0</v>
      </c>
      <c r="I42" s="6">
        <f>IF(AND(ISNUMBER('评分录入'!AD32),'评分录入'!AD32=1),1,0)+IF(AND(ISNUMBER('评分录入'!AD50),'评分录入'!AD50=1),1,0)</f>
        <v>0</v>
      </c>
      <c r="J42" s="6">
        <f>IF(AND(ISNUMBER('评分录入'!AD32),'评分录入'!AD32=0.5),1,0)+IF(AND(ISNUMBER('评分录入'!AD50),'评分录入'!AD50=0.5),1,0)</f>
        <v>0</v>
      </c>
      <c r="K42" s="6">
        <f>IF(AND(ISNUMBER('评分录入'!AD32),'评分录入'!AD32=0),1,0)+IF(AND(ISNUMBER('评分录入'!AD50),'评分录入'!AD50=0),1,0)</f>
        <v>0</v>
      </c>
      <c r="L42" s="6">
        <f>G42-H42</f>
        <v>0</v>
      </c>
      <c r="M42" s="7">
        <f>IF(H42=0,"",(I42+J42*0.5)/H42)</f>
        <v/>
      </c>
    </row>
    <row r="43" spans="1:13" ht="28" customHeight="1">
      <c r="A43" s="4" t="s">
        <v>81</v>
      </c>
      <c r="B43" s="4" t="s">
        <v>93</v>
      </c>
      <c r="C43" s="4" t="s">
        <v>83</v>
      </c>
      <c r="D43" s="4" t="s">
        <v>84</v>
      </c>
      <c r="E43" s="4" t="s">
        <v>117</v>
      </c>
      <c r="F43" s="4">
        <v>2</v>
      </c>
      <c r="G43" s="6">
        <f>IF('评分录入'!M14="纳入",1,0)+IF('评分录入'!M63="纳入",1,0)</f>
        <v>0</v>
      </c>
      <c r="H43" s="6">
        <f>IF(ISNUMBER('评分录入'!T14),1,0)+IF(ISNUMBER('评分录入'!T63),1,0)</f>
        <v>0</v>
      </c>
      <c r="I43" s="6">
        <f>IF(AND(ISNUMBER('评分录入'!T14),'评分录入'!T14=1),1,0)+IF(AND(ISNUMBER('评分录入'!T63),'评分录入'!T63=1),1,0)</f>
        <v>0</v>
      </c>
      <c r="J43" s="6">
        <f>IF(AND(ISNUMBER('评分录入'!T14),'评分录入'!T14=0.5),1,0)+IF(AND(ISNUMBER('评分录入'!T63),'评分录入'!T63=0.5),1,0)</f>
        <v>0</v>
      </c>
      <c r="K43" s="6">
        <f>IF(AND(ISNUMBER('评分录入'!T14),'评分录入'!T14=0),1,0)+IF(AND(ISNUMBER('评分录入'!T63),'评分录入'!T63=0),1,0)</f>
        <v>0</v>
      </c>
      <c r="L43" s="6">
        <f>G43-H43</f>
        <v>0</v>
      </c>
      <c r="M43" s="7">
        <f>IF(H43=0,"",(I43+J43*0.5)/H43)</f>
        <v/>
      </c>
    </row>
    <row r="44" spans="1:13" ht="28" customHeight="1">
      <c r="A44" s="4" t="s">
        <v>81</v>
      </c>
      <c r="B44" s="4" t="s">
        <v>93</v>
      </c>
      <c r="C44" s="4" t="s">
        <v>83</v>
      </c>
      <c r="D44" s="4" t="s">
        <v>84</v>
      </c>
      <c r="E44" s="4" t="s">
        <v>118</v>
      </c>
      <c r="F44" s="4">
        <v>2</v>
      </c>
      <c r="G44" s="6">
        <f>IF('评分录入'!M14="纳入",1,0)+IF('评分录入'!M63="纳入",1,0)</f>
        <v>0</v>
      </c>
      <c r="H44" s="6">
        <f>IF(ISNUMBER('评分录入'!Z14),1,0)+IF(ISNUMBER('评分录入'!Z63),1,0)</f>
        <v>0</v>
      </c>
      <c r="I44" s="6">
        <f>IF(AND(ISNUMBER('评分录入'!Z14),'评分录入'!Z14=1),1,0)+IF(AND(ISNUMBER('评分录入'!Z63),'评分录入'!Z63=1),1,0)</f>
        <v>0</v>
      </c>
      <c r="J44" s="6">
        <f>IF(AND(ISNUMBER('评分录入'!Z14),'评分录入'!Z14=0.5),1,0)+IF(AND(ISNUMBER('评分录入'!Z63),'评分录入'!Z63=0.5),1,0)</f>
        <v>0</v>
      </c>
      <c r="K44" s="6">
        <f>IF(AND(ISNUMBER('评分录入'!Z14),'评分录入'!Z14=0),1,0)+IF(AND(ISNUMBER('评分录入'!Z63),'评分录入'!Z63=0),1,0)</f>
        <v>0</v>
      </c>
      <c r="L44" s="6">
        <f>G44-H44</f>
        <v>0</v>
      </c>
      <c r="M44" s="7">
        <f>IF(H44=0,"",(I44+J44*0.5)/H44)</f>
        <v/>
      </c>
    </row>
    <row r="45" spans="1:13" ht="28" customHeight="1">
      <c r="A45" s="4" t="s">
        <v>81</v>
      </c>
      <c r="B45" s="4" t="s">
        <v>93</v>
      </c>
      <c r="C45" s="4" t="s">
        <v>83</v>
      </c>
      <c r="D45" s="4" t="s">
        <v>84</v>
      </c>
      <c r="E45" s="4" t="s">
        <v>119</v>
      </c>
      <c r="F45" s="4">
        <v>2</v>
      </c>
      <c r="G45" s="6">
        <f>IF('评分录入'!M14="纳入",1,0)+IF('评分录入'!M63="纳入",1,0)</f>
        <v>0</v>
      </c>
      <c r="H45" s="6">
        <f>IF(ISNUMBER('评分录入'!AA14),1,0)+IF(ISNUMBER('评分录入'!AA63),1,0)</f>
        <v>0</v>
      </c>
      <c r="I45" s="6">
        <f>IF(AND(ISNUMBER('评分录入'!AA14),'评分录入'!AA14=1),1,0)+IF(AND(ISNUMBER('评分录入'!AA63),'评分录入'!AA63=1),1,0)</f>
        <v>0</v>
      </c>
      <c r="J45" s="6">
        <f>IF(AND(ISNUMBER('评分录入'!AA14),'评分录入'!AA14=0.5),1,0)+IF(AND(ISNUMBER('评分录入'!AA63),'评分录入'!AA63=0.5),1,0)</f>
        <v>0</v>
      </c>
      <c r="K45" s="6">
        <f>IF(AND(ISNUMBER('评分录入'!AA14),'评分录入'!AA14=0),1,0)+IF(AND(ISNUMBER('评分录入'!AA63),'评分录入'!AA63=0),1,0)</f>
        <v>0</v>
      </c>
      <c r="L45" s="6">
        <f>G45-H45</f>
        <v>0</v>
      </c>
      <c r="M45" s="7">
        <f>IF(H45=0,"",(I45+J45*0.5)/H45)</f>
        <v/>
      </c>
    </row>
    <row r="46" spans="1:13" ht="28" customHeight="1">
      <c r="A46" s="4" t="s">
        <v>81</v>
      </c>
      <c r="B46" s="4" t="s">
        <v>93</v>
      </c>
      <c r="C46" s="4" t="s">
        <v>83</v>
      </c>
      <c r="D46" s="4" t="s">
        <v>84</v>
      </c>
      <c r="E46" s="4" t="s">
        <v>120</v>
      </c>
      <c r="F46" s="4">
        <v>2</v>
      </c>
      <c r="G46" s="6">
        <f>IF('评分录入'!M14="纳入",1,0)+IF('评分录入'!M63="纳入",1,0)</f>
        <v>0</v>
      </c>
      <c r="H46" s="6">
        <f>IF(ISNUMBER('评分录入'!AB14),1,0)+IF(ISNUMBER('评分录入'!AB63),1,0)</f>
        <v>0</v>
      </c>
      <c r="I46" s="6">
        <f>IF(AND(ISNUMBER('评分录入'!AB14),'评分录入'!AB14=1),1,0)+IF(AND(ISNUMBER('评分录入'!AB63),'评分录入'!AB63=1),1,0)</f>
        <v>0</v>
      </c>
      <c r="J46" s="6">
        <f>IF(AND(ISNUMBER('评分录入'!AB14),'评分录入'!AB14=0.5),1,0)+IF(AND(ISNUMBER('评分录入'!AB63),'评分录入'!AB63=0.5),1,0)</f>
        <v>0</v>
      </c>
      <c r="K46" s="6">
        <f>IF(AND(ISNUMBER('评分录入'!AB14),'评分录入'!AB14=0),1,0)+IF(AND(ISNUMBER('评分录入'!AB63),'评分录入'!AB63=0),1,0)</f>
        <v>0</v>
      </c>
      <c r="L46" s="6">
        <f>G46-H46</f>
        <v>0</v>
      </c>
      <c r="M46" s="7">
        <f>IF(H46=0,"",(I46+J46*0.5)/H46)</f>
        <v/>
      </c>
    </row>
    <row r="47" spans="1:13" ht="28" customHeight="1">
      <c r="A47" s="4" t="s">
        <v>81</v>
      </c>
      <c r="B47" s="4" t="s">
        <v>93</v>
      </c>
      <c r="C47" s="4" t="s">
        <v>83</v>
      </c>
      <c r="D47" s="4" t="s">
        <v>84</v>
      </c>
      <c r="E47" s="4" t="s">
        <v>121</v>
      </c>
      <c r="F47" s="4">
        <v>2</v>
      </c>
      <c r="G47" s="6">
        <f>IF('评分录入'!M14="纳入",1,0)+IF('评分录入'!M63="纳入",1,0)</f>
        <v>0</v>
      </c>
      <c r="H47" s="6">
        <f>IF(ISNUMBER('评分录入'!AC14),1,0)+IF(ISNUMBER('评分录入'!AC63),1,0)</f>
        <v>0</v>
      </c>
      <c r="I47" s="6">
        <f>IF(AND(ISNUMBER('评分录入'!AC14),'评分录入'!AC14=1),1,0)+IF(AND(ISNUMBER('评分录入'!AC63),'评分录入'!AC63=1),1,0)</f>
        <v>0</v>
      </c>
      <c r="J47" s="6">
        <f>IF(AND(ISNUMBER('评分录入'!AC14),'评分录入'!AC14=0.5),1,0)+IF(AND(ISNUMBER('评分录入'!AC63),'评分录入'!AC63=0.5),1,0)</f>
        <v>0</v>
      </c>
      <c r="K47" s="6">
        <f>IF(AND(ISNUMBER('评分录入'!AC14),'评分录入'!AC14=0),1,0)+IF(AND(ISNUMBER('评分录入'!AC63),'评分录入'!AC63=0),1,0)</f>
        <v>0</v>
      </c>
      <c r="L47" s="6">
        <f>G47-H47</f>
        <v>0</v>
      </c>
      <c r="M47" s="7">
        <f>IF(H47=0,"",(I47+J47*0.5)/H47)</f>
        <v/>
      </c>
    </row>
    <row r="48" spans="1:13" ht="28" customHeight="1">
      <c r="A48" s="4" t="s">
        <v>81</v>
      </c>
      <c r="B48" s="4" t="s">
        <v>93</v>
      </c>
      <c r="C48" s="4" t="s">
        <v>83</v>
      </c>
      <c r="D48" s="4" t="s">
        <v>84</v>
      </c>
      <c r="E48" s="4" t="s">
        <v>122</v>
      </c>
      <c r="F48" s="4">
        <v>2</v>
      </c>
      <c r="G48" s="6">
        <f>IF('评分录入'!M14="纳入",1,0)+IF('评分录入'!M63="纳入",1,0)</f>
        <v>0</v>
      </c>
      <c r="H48" s="6">
        <f>IF(ISNUMBER('评分录入'!AD14),1,0)+IF(ISNUMBER('评分录入'!AD63),1,0)</f>
        <v>0</v>
      </c>
      <c r="I48" s="6">
        <f>IF(AND(ISNUMBER('评分录入'!AD14),'评分录入'!AD14=1),1,0)+IF(AND(ISNUMBER('评分录入'!AD63),'评分录入'!AD63=1),1,0)</f>
        <v>0</v>
      </c>
      <c r="J48" s="6">
        <f>IF(AND(ISNUMBER('评分录入'!AD14),'评分录入'!AD14=0.5),1,0)+IF(AND(ISNUMBER('评分录入'!AD63),'评分录入'!AD63=0.5),1,0)</f>
        <v>0</v>
      </c>
      <c r="K48" s="6">
        <f>IF(AND(ISNUMBER('评分录入'!AD14),'评分录入'!AD14=0),1,0)+IF(AND(ISNUMBER('评分录入'!AD63),'评分录入'!AD63=0),1,0)</f>
        <v>0</v>
      </c>
      <c r="L48" s="6">
        <f>G48-H48</f>
        <v>0</v>
      </c>
      <c r="M48" s="7">
        <f>IF(H48=0,"",(I48+J48*0.5)/H48)</f>
        <v/>
      </c>
    </row>
    <row r="49" spans="1:13" ht="28" customHeight="1">
      <c r="A49" s="4" t="s">
        <v>81</v>
      </c>
      <c r="B49" s="4" t="s">
        <v>97</v>
      </c>
      <c r="C49" s="4" t="s">
        <v>83</v>
      </c>
      <c r="D49" s="4" t="s">
        <v>84</v>
      </c>
      <c r="E49" s="4" t="s">
        <v>117</v>
      </c>
      <c r="F49" s="4">
        <v>2</v>
      </c>
      <c r="G49" s="6">
        <f>IF('评分录入'!M19="纳入",1,0)+IF('评分录入'!M45="纳入",1,0)</f>
        <v>0</v>
      </c>
      <c r="H49" s="6">
        <f>IF(ISNUMBER('评分录入'!T19),1,0)+IF(ISNUMBER('评分录入'!T45),1,0)</f>
        <v>0</v>
      </c>
      <c r="I49" s="6">
        <f>IF(AND(ISNUMBER('评分录入'!T19),'评分录入'!T19=1),1,0)+IF(AND(ISNUMBER('评分录入'!T45),'评分录入'!T45=1),1,0)</f>
        <v>0</v>
      </c>
      <c r="J49" s="6">
        <f>IF(AND(ISNUMBER('评分录入'!T19),'评分录入'!T19=0.5),1,0)+IF(AND(ISNUMBER('评分录入'!T45),'评分录入'!T45=0.5),1,0)</f>
        <v>0</v>
      </c>
      <c r="K49" s="6">
        <f>IF(AND(ISNUMBER('评分录入'!T19),'评分录入'!T19=0),1,0)+IF(AND(ISNUMBER('评分录入'!T45),'评分录入'!T45=0),1,0)</f>
        <v>0</v>
      </c>
      <c r="L49" s="6">
        <f>G49-H49</f>
        <v>0</v>
      </c>
      <c r="M49" s="7">
        <f>IF(H49=0,"",(I49+J49*0.5)/H49)</f>
        <v/>
      </c>
    </row>
    <row r="50" spans="1:13" ht="28" customHeight="1">
      <c r="A50" s="4" t="s">
        <v>81</v>
      </c>
      <c r="B50" s="4" t="s">
        <v>97</v>
      </c>
      <c r="C50" s="4" t="s">
        <v>83</v>
      </c>
      <c r="D50" s="4" t="s">
        <v>84</v>
      </c>
      <c r="E50" s="4" t="s">
        <v>118</v>
      </c>
      <c r="F50" s="4">
        <v>2</v>
      </c>
      <c r="G50" s="6">
        <f>IF('评分录入'!M19="纳入",1,0)+IF('评分录入'!M45="纳入",1,0)</f>
        <v>0</v>
      </c>
      <c r="H50" s="6">
        <f>IF(ISNUMBER('评分录入'!Z19),1,0)+IF(ISNUMBER('评分录入'!Z45),1,0)</f>
        <v>0</v>
      </c>
      <c r="I50" s="6">
        <f>IF(AND(ISNUMBER('评分录入'!Z19),'评分录入'!Z19=1),1,0)+IF(AND(ISNUMBER('评分录入'!Z45),'评分录入'!Z45=1),1,0)</f>
        <v>0</v>
      </c>
      <c r="J50" s="6">
        <f>IF(AND(ISNUMBER('评分录入'!Z19),'评分录入'!Z19=0.5),1,0)+IF(AND(ISNUMBER('评分录入'!Z45),'评分录入'!Z45=0.5),1,0)</f>
        <v>0</v>
      </c>
      <c r="K50" s="6">
        <f>IF(AND(ISNUMBER('评分录入'!Z19),'评分录入'!Z19=0),1,0)+IF(AND(ISNUMBER('评分录入'!Z45),'评分录入'!Z45=0),1,0)</f>
        <v>0</v>
      </c>
      <c r="L50" s="6">
        <f>G50-H50</f>
        <v>0</v>
      </c>
      <c r="M50" s="7">
        <f>IF(H50=0,"",(I50+J50*0.5)/H50)</f>
        <v/>
      </c>
    </row>
    <row r="51" spans="1:13" ht="28" customHeight="1">
      <c r="A51" s="4" t="s">
        <v>81</v>
      </c>
      <c r="B51" s="4" t="s">
        <v>97</v>
      </c>
      <c r="C51" s="4" t="s">
        <v>83</v>
      </c>
      <c r="D51" s="4" t="s">
        <v>84</v>
      </c>
      <c r="E51" s="4" t="s">
        <v>119</v>
      </c>
      <c r="F51" s="4">
        <v>2</v>
      </c>
      <c r="G51" s="6">
        <f>IF('评分录入'!M19="纳入",1,0)+IF('评分录入'!M45="纳入",1,0)</f>
        <v>0</v>
      </c>
      <c r="H51" s="6">
        <f>IF(ISNUMBER('评分录入'!AA19),1,0)+IF(ISNUMBER('评分录入'!AA45),1,0)</f>
        <v>0</v>
      </c>
      <c r="I51" s="6">
        <f>IF(AND(ISNUMBER('评分录入'!AA19),'评分录入'!AA19=1),1,0)+IF(AND(ISNUMBER('评分录入'!AA45),'评分录入'!AA45=1),1,0)</f>
        <v>0</v>
      </c>
      <c r="J51" s="6">
        <f>IF(AND(ISNUMBER('评分录入'!AA19),'评分录入'!AA19=0.5),1,0)+IF(AND(ISNUMBER('评分录入'!AA45),'评分录入'!AA45=0.5),1,0)</f>
        <v>0</v>
      </c>
      <c r="K51" s="6">
        <f>IF(AND(ISNUMBER('评分录入'!AA19),'评分录入'!AA19=0),1,0)+IF(AND(ISNUMBER('评分录入'!AA45),'评分录入'!AA45=0),1,0)</f>
        <v>0</v>
      </c>
      <c r="L51" s="6">
        <f>G51-H51</f>
        <v>0</v>
      </c>
      <c r="M51" s="7">
        <f>IF(H51=0,"",(I51+J51*0.5)/H51)</f>
        <v/>
      </c>
    </row>
    <row r="52" spans="1:13" ht="28" customHeight="1">
      <c r="A52" s="4" t="s">
        <v>81</v>
      </c>
      <c r="B52" s="4" t="s">
        <v>97</v>
      </c>
      <c r="C52" s="4" t="s">
        <v>83</v>
      </c>
      <c r="D52" s="4" t="s">
        <v>84</v>
      </c>
      <c r="E52" s="4" t="s">
        <v>120</v>
      </c>
      <c r="F52" s="4">
        <v>2</v>
      </c>
      <c r="G52" s="6">
        <f>IF('评分录入'!M19="纳入",1,0)+IF('评分录入'!M45="纳入",1,0)</f>
        <v>0</v>
      </c>
      <c r="H52" s="6">
        <f>IF(ISNUMBER('评分录入'!AB19),1,0)+IF(ISNUMBER('评分录入'!AB45),1,0)</f>
        <v>0</v>
      </c>
      <c r="I52" s="6">
        <f>IF(AND(ISNUMBER('评分录入'!AB19),'评分录入'!AB19=1),1,0)+IF(AND(ISNUMBER('评分录入'!AB45),'评分录入'!AB45=1),1,0)</f>
        <v>0</v>
      </c>
      <c r="J52" s="6">
        <f>IF(AND(ISNUMBER('评分录入'!AB19),'评分录入'!AB19=0.5),1,0)+IF(AND(ISNUMBER('评分录入'!AB45),'评分录入'!AB45=0.5),1,0)</f>
        <v>0</v>
      </c>
      <c r="K52" s="6">
        <f>IF(AND(ISNUMBER('评分录入'!AB19),'评分录入'!AB19=0),1,0)+IF(AND(ISNUMBER('评分录入'!AB45),'评分录入'!AB45=0),1,0)</f>
        <v>0</v>
      </c>
      <c r="L52" s="6">
        <f>G52-H52</f>
        <v>0</v>
      </c>
      <c r="M52" s="7">
        <f>IF(H52=0,"",(I52+J52*0.5)/H52)</f>
        <v/>
      </c>
    </row>
    <row r="53" spans="1:13" ht="28" customHeight="1">
      <c r="A53" s="4" t="s">
        <v>81</v>
      </c>
      <c r="B53" s="4" t="s">
        <v>97</v>
      </c>
      <c r="C53" s="4" t="s">
        <v>83</v>
      </c>
      <c r="D53" s="4" t="s">
        <v>84</v>
      </c>
      <c r="E53" s="4" t="s">
        <v>121</v>
      </c>
      <c r="F53" s="4">
        <v>2</v>
      </c>
      <c r="G53" s="6">
        <f>IF('评分录入'!M19="纳入",1,0)+IF('评分录入'!M45="纳入",1,0)</f>
        <v>0</v>
      </c>
      <c r="H53" s="6">
        <f>IF(ISNUMBER('评分录入'!AC19),1,0)+IF(ISNUMBER('评分录入'!AC45),1,0)</f>
        <v>0</v>
      </c>
      <c r="I53" s="6">
        <f>IF(AND(ISNUMBER('评分录入'!AC19),'评分录入'!AC19=1),1,0)+IF(AND(ISNUMBER('评分录入'!AC45),'评分录入'!AC45=1),1,0)</f>
        <v>0</v>
      </c>
      <c r="J53" s="6">
        <f>IF(AND(ISNUMBER('评分录入'!AC19),'评分录入'!AC19=0.5),1,0)+IF(AND(ISNUMBER('评分录入'!AC45),'评分录入'!AC45=0.5),1,0)</f>
        <v>0</v>
      </c>
      <c r="K53" s="6">
        <f>IF(AND(ISNUMBER('评分录入'!AC19),'评分录入'!AC19=0),1,0)+IF(AND(ISNUMBER('评分录入'!AC45),'评分录入'!AC45=0),1,0)</f>
        <v>0</v>
      </c>
      <c r="L53" s="6">
        <f>G53-H53</f>
        <v>0</v>
      </c>
      <c r="M53" s="7">
        <f>IF(H53=0,"",(I53+J53*0.5)/H53)</f>
        <v/>
      </c>
    </row>
    <row r="54" spans="1:13" ht="28" customHeight="1">
      <c r="A54" s="4" t="s">
        <v>81</v>
      </c>
      <c r="B54" s="4" t="s">
        <v>97</v>
      </c>
      <c r="C54" s="4" t="s">
        <v>83</v>
      </c>
      <c r="D54" s="4" t="s">
        <v>84</v>
      </c>
      <c r="E54" s="4" t="s">
        <v>122</v>
      </c>
      <c r="F54" s="4">
        <v>2</v>
      </c>
      <c r="G54" s="6">
        <f>IF('评分录入'!M19="纳入",1,0)+IF('评分录入'!M45="纳入",1,0)</f>
        <v>0</v>
      </c>
      <c r="H54" s="6">
        <f>IF(ISNUMBER('评分录入'!AD19),1,0)+IF(ISNUMBER('评分录入'!AD45),1,0)</f>
        <v>0</v>
      </c>
      <c r="I54" s="6">
        <f>IF(AND(ISNUMBER('评分录入'!AD19),'评分录入'!AD19=1),1,0)+IF(AND(ISNUMBER('评分录入'!AD45),'评分录入'!AD45=1),1,0)</f>
        <v>0</v>
      </c>
      <c r="J54" s="6">
        <f>IF(AND(ISNUMBER('评分录入'!AD19),'评分录入'!AD19=0.5),1,0)+IF(AND(ISNUMBER('评分录入'!AD45),'评分录入'!AD45=0.5),1,0)</f>
        <v>0</v>
      </c>
      <c r="K54" s="6">
        <f>IF(AND(ISNUMBER('评分录入'!AD19),'评分录入'!AD19=0),1,0)+IF(AND(ISNUMBER('评分录入'!AD45),'评分录入'!AD45=0),1,0)</f>
        <v>0</v>
      </c>
      <c r="L54" s="6">
        <f>G54-H54</f>
        <v>0</v>
      </c>
      <c r="M54" s="7">
        <f>IF(H54=0,"",(I54+J54*0.5)/H54)</f>
        <v/>
      </c>
    </row>
    <row r="55" spans="1:13" ht="28" customHeight="1">
      <c r="A55" s="4" t="s">
        <v>81</v>
      </c>
      <c r="B55" s="4" t="s">
        <v>108</v>
      </c>
      <c r="C55" s="4" t="s">
        <v>83</v>
      </c>
      <c r="D55" s="4" t="s">
        <v>84</v>
      </c>
      <c r="E55" s="4" t="s">
        <v>117</v>
      </c>
      <c r="F55" s="4">
        <v>2</v>
      </c>
      <c r="G55" s="6">
        <f>IF('评分录入'!M55="纳入",1,0)+IF('评分录入'!M68="纳入",1,0)</f>
        <v>0</v>
      </c>
      <c r="H55" s="6">
        <f>IF(ISNUMBER('评分录入'!T55),1,0)+IF(ISNUMBER('评分录入'!T68),1,0)</f>
        <v>0</v>
      </c>
      <c r="I55" s="6">
        <f>IF(AND(ISNUMBER('评分录入'!T55),'评分录入'!T55=1),1,0)+IF(AND(ISNUMBER('评分录入'!T68),'评分录入'!T68=1),1,0)</f>
        <v>0</v>
      </c>
      <c r="J55" s="6">
        <f>IF(AND(ISNUMBER('评分录入'!T55),'评分录入'!T55=0.5),1,0)+IF(AND(ISNUMBER('评分录入'!T68),'评分录入'!T68=0.5),1,0)</f>
        <v>0</v>
      </c>
      <c r="K55" s="6">
        <f>IF(AND(ISNUMBER('评分录入'!T55),'评分录入'!T55=0),1,0)+IF(AND(ISNUMBER('评分录入'!T68),'评分录入'!T68=0),1,0)</f>
        <v>0</v>
      </c>
      <c r="L55" s="6">
        <f>G55-H55</f>
        <v>0</v>
      </c>
      <c r="M55" s="7">
        <f>IF(H55=0,"",(I55+J55*0.5)/H55)</f>
        <v/>
      </c>
    </row>
    <row r="56" spans="1:13" ht="28" customHeight="1">
      <c r="A56" s="4" t="s">
        <v>81</v>
      </c>
      <c r="B56" s="4" t="s">
        <v>108</v>
      </c>
      <c r="C56" s="4" t="s">
        <v>83</v>
      </c>
      <c r="D56" s="4" t="s">
        <v>84</v>
      </c>
      <c r="E56" s="4" t="s">
        <v>118</v>
      </c>
      <c r="F56" s="4">
        <v>2</v>
      </c>
      <c r="G56" s="6">
        <f>IF('评分录入'!M55="纳入",1,0)+IF('评分录入'!M68="纳入",1,0)</f>
        <v>0</v>
      </c>
      <c r="H56" s="6">
        <f>IF(ISNUMBER('评分录入'!Z55),1,0)+IF(ISNUMBER('评分录入'!Z68),1,0)</f>
        <v>0</v>
      </c>
      <c r="I56" s="6">
        <f>IF(AND(ISNUMBER('评分录入'!Z55),'评分录入'!Z55=1),1,0)+IF(AND(ISNUMBER('评分录入'!Z68),'评分录入'!Z68=1),1,0)</f>
        <v>0</v>
      </c>
      <c r="J56" s="6">
        <f>IF(AND(ISNUMBER('评分录入'!Z55),'评分录入'!Z55=0.5),1,0)+IF(AND(ISNUMBER('评分录入'!Z68),'评分录入'!Z68=0.5),1,0)</f>
        <v>0</v>
      </c>
      <c r="K56" s="6">
        <f>IF(AND(ISNUMBER('评分录入'!Z55),'评分录入'!Z55=0),1,0)+IF(AND(ISNUMBER('评分录入'!Z68),'评分录入'!Z68=0),1,0)</f>
        <v>0</v>
      </c>
      <c r="L56" s="6">
        <f>G56-H56</f>
        <v>0</v>
      </c>
      <c r="M56" s="7">
        <f>IF(H56=0,"",(I56+J56*0.5)/H56)</f>
        <v/>
      </c>
    </row>
    <row r="57" spans="1:13" ht="28" customHeight="1">
      <c r="A57" s="4" t="s">
        <v>81</v>
      </c>
      <c r="B57" s="4" t="s">
        <v>108</v>
      </c>
      <c r="C57" s="4" t="s">
        <v>83</v>
      </c>
      <c r="D57" s="4" t="s">
        <v>84</v>
      </c>
      <c r="E57" s="4" t="s">
        <v>119</v>
      </c>
      <c r="F57" s="4">
        <v>2</v>
      </c>
      <c r="G57" s="6">
        <f>IF('评分录入'!M55="纳入",1,0)+IF('评分录入'!M68="纳入",1,0)</f>
        <v>0</v>
      </c>
      <c r="H57" s="6">
        <f>IF(ISNUMBER('评分录入'!AA55),1,0)+IF(ISNUMBER('评分录入'!AA68),1,0)</f>
        <v>0</v>
      </c>
      <c r="I57" s="6">
        <f>IF(AND(ISNUMBER('评分录入'!AA55),'评分录入'!AA55=1),1,0)+IF(AND(ISNUMBER('评分录入'!AA68),'评分录入'!AA68=1),1,0)</f>
        <v>0</v>
      </c>
      <c r="J57" s="6">
        <f>IF(AND(ISNUMBER('评分录入'!AA55),'评分录入'!AA55=0.5),1,0)+IF(AND(ISNUMBER('评分录入'!AA68),'评分录入'!AA68=0.5),1,0)</f>
        <v>0</v>
      </c>
      <c r="K57" s="6">
        <f>IF(AND(ISNUMBER('评分录入'!AA55),'评分录入'!AA55=0),1,0)+IF(AND(ISNUMBER('评分录入'!AA68),'评分录入'!AA68=0),1,0)</f>
        <v>0</v>
      </c>
      <c r="L57" s="6">
        <f>G57-H57</f>
        <v>0</v>
      </c>
      <c r="M57" s="7">
        <f>IF(H57=0,"",(I57+J57*0.5)/H57)</f>
        <v/>
      </c>
    </row>
    <row r="58" spans="1:13" ht="28" customHeight="1">
      <c r="A58" s="4" t="s">
        <v>81</v>
      </c>
      <c r="B58" s="4" t="s">
        <v>108</v>
      </c>
      <c r="C58" s="4" t="s">
        <v>83</v>
      </c>
      <c r="D58" s="4" t="s">
        <v>84</v>
      </c>
      <c r="E58" s="4" t="s">
        <v>120</v>
      </c>
      <c r="F58" s="4">
        <v>2</v>
      </c>
      <c r="G58" s="6">
        <f>IF('评分录入'!M55="纳入",1,0)+IF('评分录入'!M68="纳入",1,0)</f>
        <v>0</v>
      </c>
      <c r="H58" s="6">
        <f>IF(ISNUMBER('评分录入'!AB55),1,0)+IF(ISNUMBER('评分录入'!AB68),1,0)</f>
        <v>0</v>
      </c>
      <c r="I58" s="6">
        <f>IF(AND(ISNUMBER('评分录入'!AB55),'评分录入'!AB55=1),1,0)+IF(AND(ISNUMBER('评分录入'!AB68),'评分录入'!AB68=1),1,0)</f>
        <v>0</v>
      </c>
      <c r="J58" s="6">
        <f>IF(AND(ISNUMBER('评分录入'!AB55),'评分录入'!AB55=0.5),1,0)+IF(AND(ISNUMBER('评分录入'!AB68),'评分录入'!AB68=0.5),1,0)</f>
        <v>0</v>
      </c>
      <c r="K58" s="6">
        <f>IF(AND(ISNUMBER('评分录入'!AB55),'评分录入'!AB55=0),1,0)+IF(AND(ISNUMBER('评分录入'!AB68),'评分录入'!AB68=0),1,0)</f>
        <v>0</v>
      </c>
      <c r="L58" s="6">
        <f>G58-H58</f>
        <v>0</v>
      </c>
      <c r="M58" s="7">
        <f>IF(H58=0,"",(I58+J58*0.5)/H58)</f>
        <v/>
      </c>
    </row>
    <row r="59" spans="1:13" ht="28" customHeight="1">
      <c r="A59" s="4" t="s">
        <v>81</v>
      </c>
      <c r="B59" s="4" t="s">
        <v>108</v>
      </c>
      <c r="C59" s="4" t="s">
        <v>83</v>
      </c>
      <c r="D59" s="4" t="s">
        <v>84</v>
      </c>
      <c r="E59" s="4" t="s">
        <v>121</v>
      </c>
      <c r="F59" s="4">
        <v>2</v>
      </c>
      <c r="G59" s="6">
        <f>IF('评分录入'!M55="纳入",1,0)+IF('评分录入'!M68="纳入",1,0)</f>
        <v>0</v>
      </c>
      <c r="H59" s="6">
        <f>IF(ISNUMBER('评分录入'!AC55),1,0)+IF(ISNUMBER('评分录入'!AC68),1,0)</f>
        <v>0</v>
      </c>
      <c r="I59" s="6">
        <f>IF(AND(ISNUMBER('评分录入'!AC55),'评分录入'!AC55=1),1,0)+IF(AND(ISNUMBER('评分录入'!AC68),'评分录入'!AC68=1),1,0)</f>
        <v>0</v>
      </c>
      <c r="J59" s="6">
        <f>IF(AND(ISNUMBER('评分录入'!AC55),'评分录入'!AC55=0.5),1,0)+IF(AND(ISNUMBER('评分录入'!AC68),'评分录入'!AC68=0.5),1,0)</f>
        <v>0</v>
      </c>
      <c r="K59" s="6">
        <f>IF(AND(ISNUMBER('评分录入'!AC55),'评分录入'!AC55=0),1,0)+IF(AND(ISNUMBER('评分录入'!AC68),'评分录入'!AC68=0),1,0)</f>
        <v>0</v>
      </c>
      <c r="L59" s="6">
        <f>G59-H59</f>
        <v>0</v>
      </c>
      <c r="M59" s="7">
        <f>IF(H59=0,"",(I59+J59*0.5)/H59)</f>
        <v/>
      </c>
    </row>
    <row r="60" spans="1:13" ht="28" customHeight="1">
      <c r="A60" s="4" t="s">
        <v>81</v>
      </c>
      <c r="B60" s="4" t="s">
        <v>108</v>
      </c>
      <c r="C60" s="4" t="s">
        <v>83</v>
      </c>
      <c r="D60" s="4" t="s">
        <v>84</v>
      </c>
      <c r="E60" s="4" t="s">
        <v>122</v>
      </c>
      <c r="F60" s="4">
        <v>2</v>
      </c>
      <c r="G60" s="6">
        <f>IF('评分录入'!M55="纳入",1,0)+IF('评分录入'!M68="纳入",1,0)</f>
        <v>0</v>
      </c>
      <c r="H60" s="6">
        <f>IF(ISNUMBER('评分录入'!AD55),1,0)+IF(ISNUMBER('评分录入'!AD68),1,0)</f>
        <v>0</v>
      </c>
      <c r="I60" s="6">
        <f>IF(AND(ISNUMBER('评分录入'!AD55),'评分录入'!AD55=1),1,0)+IF(AND(ISNUMBER('评分录入'!AD68),'评分录入'!AD68=1),1,0)</f>
        <v>0</v>
      </c>
      <c r="J60" s="6">
        <f>IF(AND(ISNUMBER('评分录入'!AD55),'评分录入'!AD55=0.5),1,0)+IF(AND(ISNUMBER('评分录入'!AD68),'评分录入'!AD68=0.5),1,0)</f>
        <v>0</v>
      </c>
      <c r="K60" s="6">
        <f>IF(AND(ISNUMBER('评分录入'!AD55),'评分录入'!AD55=0),1,0)+IF(AND(ISNUMBER('评分录入'!AD68),'评分录入'!AD68=0),1,0)</f>
        <v>0</v>
      </c>
      <c r="L60" s="6">
        <f>G60-H60</f>
        <v>0</v>
      </c>
      <c r="M60" s="7">
        <f>IF(H60=0,"",(I60+J60*0.5)/H60)</f>
        <v/>
      </c>
    </row>
    <row r="61" spans="1:13" ht="28" customHeight="1">
      <c r="A61" s="4" t="s">
        <v>81</v>
      </c>
      <c r="B61" s="4" t="s">
        <v>100</v>
      </c>
      <c r="C61" s="4" t="s">
        <v>83</v>
      </c>
      <c r="D61" s="4" t="s">
        <v>84</v>
      </c>
      <c r="E61" s="4" t="s">
        <v>117</v>
      </c>
      <c r="F61" s="4">
        <v>2</v>
      </c>
      <c r="G61" s="6">
        <f>IF('评分录入'!M30="纳入",1,0)+IF('评分录入'!M66="纳入",1,0)</f>
        <v>0</v>
      </c>
      <c r="H61" s="6">
        <f>IF(ISNUMBER('评分录入'!T30),1,0)+IF(ISNUMBER('评分录入'!T66),1,0)</f>
        <v>0</v>
      </c>
      <c r="I61" s="6">
        <f>IF(AND(ISNUMBER('评分录入'!T30),'评分录入'!T30=1),1,0)+IF(AND(ISNUMBER('评分录入'!T66),'评分录入'!T66=1),1,0)</f>
        <v>0</v>
      </c>
      <c r="J61" s="6">
        <f>IF(AND(ISNUMBER('评分录入'!T30),'评分录入'!T30=0.5),1,0)+IF(AND(ISNUMBER('评分录入'!T66),'评分录入'!T66=0.5),1,0)</f>
        <v>0</v>
      </c>
      <c r="K61" s="6">
        <f>IF(AND(ISNUMBER('评分录入'!T30),'评分录入'!T30=0),1,0)+IF(AND(ISNUMBER('评分录入'!T66),'评分录入'!T66=0),1,0)</f>
        <v>0</v>
      </c>
      <c r="L61" s="6">
        <f>G61-H61</f>
        <v>0</v>
      </c>
      <c r="M61" s="7">
        <f>IF(H61=0,"",(I61+J61*0.5)/H61)</f>
        <v/>
      </c>
    </row>
    <row r="62" spans="1:13" ht="28" customHeight="1">
      <c r="A62" s="4" t="s">
        <v>81</v>
      </c>
      <c r="B62" s="4" t="s">
        <v>100</v>
      </c>
      <c r="C62" s="4" t="s">
        <v>83</v>
      </c>
      <c r="D62" s="4" t="s">
        <v>84</v>
      </c>
      <c r="E62" s="4" t="s">
        <v>118</v>
      </c>
      <c r="F62" s="4">
        <v>2</v>
      </c>
      <c r="G62" s="6">
        <f>IF('评分录入'!M30="纳入",1,0)+IF('评分录入'!M66="纳入",1,0)</f>
        <v>0</v>
      </c>
      <c r="H62" s="6">
        <f>IF(ISNUMBER('评分录入'!Z30),1,0)+IF(ISNUMBER('评分录入'!Z66),1,0)</f>
        <v>0</v>
      </c>
      <c r="I62" s="6">
        <f>IF(AND(ISNUMBER('评分录入'!Z30),'评分录入'!Z30=1),1,0)+IF(AND(ISNUMBER('评分录入'!Z66),'评分录入'!Z66=1),1,0)</f>
        <v>0</v>
      </c>
      <c r="J62" s="6">
        <f>IF(AND(ISNUMBER('评分录入'!Z30),'评分录入'!Z30=0.5),1,0)+IF(AND(ISNUMBER('评分录入'!Z66),'评分录入'!Z66=0.5),1,0)</f>
        <v>0</v>
      </c>
      <c r="K62" s="6">
        <f>IF(AND(ISNUMBER('评分录入'!Z30),'评分录入'!Z30=0),1,0)+IF(AND(ISNUMBER('评分录入'!Z66),'评分录入'!Z66=0),1,0)</f>
        <v>0</v>
      </c>
      <c r="L62" s="6">
        <f>G62-H62</f>
        <v>0</v>
      </c>
      <c r="M62" s="7">
        <f>IF(H62=0,"",(I62+J62*0.5)/H62)</f>
        <v/>
      </c>
    </row>
    <row r="63" spans="1:13" ht="28" customHeight="1">
      <c r="A63" s="4" t="s">
        <v>81</v>
      </c>
      <c r="B63" s="4" t="s">
        <v>100</v>
      </c>
      <c r="C63" s="4" t="s">
        <v>83</v>
      </c>
      <c r="D63" s="4" t="s">
        <v>84</v>
      </c>
      <c r="E63" s="4" t="s">
        <v>119</v>
      </c>
      <c r="F63" s="4">
        <v>2</v>
      </c>
      <c r="G63" s="6">
        <f>IF('评分录入'!M30="纳入",1,0)+IF('评分录入'!M66="纳入",1,0)</f>
        <v>0</v>
      </c>
      <c r="H63" s="6">
        <f>IF(ISNUMBER('评分录入'!AA30),1,0)+IF(ISNUMBER('评分录入'!AA66),1,0)</f>
        <v>0</v>
      </c>
      <c r="I63" s="6">
        <f>IF(AND(ISNUMBER('评分录入'!AA30),'评分录入'!AA30=1),1,0)+IF(AND(ISNUMBER('评分录入'!AA66),'评分录入'!AA66=1),1,0)</f>
        <v>0</v>
      </c>
      <c r="J63" s="6">
        <f>IF(AND(ISNUMBER('评分录入'!AA30),'评分录入'!AA30=0.5),1,0)+IF(AND(ISNUMBER('评分录入'!AA66),'评分录入'!AA66=0.5),1,0)</f>
        <v>0</v>
      </c>
      <c r="K63" s="6">
        <f>IF(AND(ISNUMBER('评分录入'!AA30),'评分录入'!AA30=0),1,0)+IF(AND(ISNUMBER('评分录入'!AA66),'评分录入'!AA66=0),1,0)</f>
        <v>0</v>
      </c>
      <c r="L63" s="6">
        <f>G63-H63</f>
        <v>0</v>
      </c>
      <c r="M63" s="7">
        <f>IF(H63=0,"",(I63+J63*0.5)/H63)</f>
        <v/>
      </c>
    </row>
    <row r="64" spans="1:13" ht="28" customHeight="1">
      <c r="A64" s="4" t="s">
        <v>81</v>
      </c>
      <c r="B64" s="4" t="s">
        <v>100</v>
      </c>
      <c r="C64" s="4" t="s">
        <v>83</v>
      </c>
      <c r="D64" s="4" t="s">
        <v>84</v>
      </c>
      <c r="E64" s="4" t="s">
        <v>120</v>
      </c>
      <c r="F64" s="4">
        <v>2</v>
      </c>
      <c r="G64" s="6">
        <f>IF('评分录入'!M30="纳入",1,0)+IF('评分录入'!M66="纳入",1,0)</f>
        <v>0</v>
      </c>
      <c r="H64" s="6">
        <f>IF(ISNUMBER('评分录入'!AB30),1,0)+IF(ISNUMBER('评分录入'!AB66),1,0)</f>
        <v>0</v>
      </c>
      <c r="I64" s="6">
        <f>IF(AND(ISNUMBER('评分录入'!AB30),'评分录入'!AB30=1),1,0)+IF(AND(ISNUMBER('评分录入'!AB66),'评分录入'!AB66=1),1,0)</f>
        <v>0</v>
      </c>
      <c r="J64" s="6">
        <f>IF(AND(ISNUMBER('评分录入'!AB30),'评分录入'!AB30=0.5),1,0)+IF(AND(ISNUMBER('评分录入'!AB66),'评分录入'!AB66=0.5),1,0)</f>
        <v>0</v>
      </c>
      <c r="K64" s="6">
        <f>IF(AND(ISNUMBER('评分录入'!AB30),'评分录入'!AB30=0),1,0)+IF(AND(ISNUMBER('评分录入'!AB66),'评分录入'!AB66=0),1,0)</f>
        <v>0</v>
      </c>
      <c r="L64" s="6">
        <f>G64-H64</f>
        <v>0</v>
      </c>
      <c r="M64" s="7">
        <f>IF(H64=0,"",(I64+J64*0.5)/H64)</f>
        <v/>
      </c>
    </row>
    <row r="65" spans="1:13" ht="28" customHeight="1">
      <c r="A65" s="4" t="s">
        <v>81</v>
      </c>
      <c r="B65" s="4" t="s">
        <v>100</v>
      </c>
      <c r="C65" s="4" t="s">
        <v>83</v>
      </c>
      <c r="D65" s="4" t="s">
        <v>84</v>
      </c>
      <c r="E65" s="4" t="s">
        <v>121</v>
      </c>
      <c r="F65" s="4">
        <v>2</v>
      </c>
      <c r="G65" s="6">
        <f>IF('评分录入'!M30="纳入",1,0)+IF('评分录入'!M66="纳入",1,0)</f>
        <v>0</v>
      </c>
      <c r="H65" s="6">
        <f>IF(ISNUMBER('评分录入'!AC30),1,0)+IF(ISNUMBER('评分录入'!AC66),1,0)</f>
        <v>0</v>
      </c>
      <c r="I65" s="6">
        <f>IF(AND(ISNUMBER('评分录入'!AC30),'评分录入'!AC30=1),1,0)+IF(AND(ISNUMBER('评分录入'!AC66),'评分录入'!AC66=1),1,0)</f>
        <v>0</v>
      </c>
      <c r="J65" s="6">
        <f>IF(AND(ISNUMBER('评分录入'!AC30),'评分录入'!AC30=0.5),1,0)+IF(AND(ISNUMBER('评分录入'!AC66),'评分录入'!AC66=0.5),1,0)</f>
        <v>0</v>
      </c>
      <c r="K65" s="6">
        <f>IF(AND(ISNUMBER('评分录入'!AC30),'评分录入'!AC30=0),1,0)+IF(AND(ISNUMBER('评分录入'!AC66),'评分录入'!AC66=0),1,0)</f>
        <v>0</v>
      </c>
      <c r="L65" s="6">
        <f>G65-H65</f>
        <v>0</v>
      </c>
      <c r="M65" s="7">
        <f>IF(H65=0,"",(I65+J65*0.5)/H65)</f>
        <v/>
      </c>
    </row>
    <row r="66" spans="1:13" ht="28" customHeight="1">
      <c r="A66" s="4" t="s">
        <v>81</v>
      </c>
      <c r="B66" s="4" t="s">
        <v>100</v>
      </c>
      <c r="C66" s="4" t="s">
        <v>83</v>
      </c>
      <c r="D66" s="4" t="s">
        <v>84</v>
      </c>
      <c r="E66" s="4" t="s">
        <v>122</v>
      </c>
      <c r="F66" s="4">
        <v>2</v>
      </c>
      <c r="G66" s="6">
        <f>IF('评分录入'!M30="纳入",1,0)+IF('评分录入'!M66="纳入",1,0)</f>
        <v>0</v>
      </c>
      <c r="H66" s="6">
        <f>IF(ISNUMBER('评分录入'!AD30),1,0)+IF(ISNUMBER('评分录入'!AD66),1,0)</f>
        <v>0</v>
      </c>
      <c r="I66" s="6">
        <f>IF(AND(ISNUMBER('评分录入'!AD30),'评分录入'!AD30=1),1,0)+IF(AND(ISNUMBER('评分录入'!AD66),'评分录入'!AD66=1),1,0)</f>
        <v>0</v>
      </c>
      <c r="J66" s="6">
        <f>IF(AND(ISNUMBER('评分录入'!AD30),'评分录入'!AD30=0.5),1,0)+IF(AND(ISNUMBER('评分录入'!AD66),'评分录入'!AD66=0.5),1,0)</f>
        <v>0</v>
      </c>
      <c r="K66" s="6">
        <f>IF(AND(ISNUMBER('评分录入'!AD30),'评分录入'!AD30=0),1,0)+IF(AND(ISNUMBER('评分录入'!AD66),'评分录入'!AD66=0),1,0)</f>
        <v>0</v>
      </c>
      <c r="L66" s="6">
        <f>G66-H66</f>
        <v>0</v>
      </c>
      <c r="M66" s="7">
        <f>IF(H66=0,"",(I66+J66*0.5)/H66)</f>
        <v/>
      </c>
    </row>
    <row r="67" spans="1:13" ht="28" customHeight="1">
      <c r="A67" s="4" t="s">
        <v>72</v>
      </c>
      <c r="B67" s="4" t="s">
        <v>77</v>
      </c>
      <c r="C67" s="4" t="s">
        <v>75</v>
      </c>
      <c r="D67" s="4" t="s">
        <v>87</v>
      </c>
      <c r="E67" s="4" t="s">
        <v>117</v>
      </c>
      <c r="F67" s="4">
        <v>1</v>
      </c>
      <c r="G67" s="6">
        <f>IF('评分录入'!M16="纳入",1,0)</f>
        <v>0</v>
      </c>
      <c r="H67" s="6">
        <f>IF(ISNUMBER('评分录入'!T16),1,0)</f>
        <v>0</v>
      </c>
      <c r="I67" s="6">
        <f>IF(AND(ISNUMBER('评分录入'!T16),'评分录入'!T16=1),1,0)</f>
        <v>0</v>
      </c>
      <c r="J67" s="6">
        <f>IF(AND(ISNUMBER('评分录入'!T16),'评分录入'!T16=0.5),1,0)</f>
        <v>0</v>
      </c>
      <c r="K67" s="6">
        <f>IF(AND(ISNUMBER('评分录入'!T16),'评分录入'!T16=0),1,0)</f>
        <v>0</v>
      </c>
      <c r="L67" s="6">
        <f>G67-H67</f>
        <v>0</v>
      </c>
      <c r="M67" s="7">
        <f>IF(H67=0,"",(I67+J67*0.5)/H67)</f>
        <v/>
      </c>
    </row>
    <row r="68" spans="1:13" ht="28" customHeight="1">
      <c r="A68" s="4" t="s">
        <v>72</v>
      </c>
      <c r="B68" s="4" t="s">
        <v>77</v>
      </c>
      <c r="C68" s="4" t="s">
        <v>75</v>
      </c>
      <c r="D68" s="4" t="s">
        <v>87</v>
      </c>
      <c r="E68" s="4" t="s">
        <v>118</v>
      </c>
      <c r="F68" s="4">
        <v>1</v>
      </c>
      <c r="G68" s="6">
        <f>IF('评分录入'!M16="纳入",1,0)</f>
        <v>0</v>
      </c>
      <c r="H68" s="6">
        <f>IF(ISNUMBER('评分录入'!Z16),1,0)</f>
        <v>0</v>
      </c>
      <c r="I68" s="6">
        <f>IF(AND(ISNUMBER('评分录入'!Z16),'评分录入'!Z16=1),1,0)</f>
        <v>0</v>
      </c>
      <c r="J68" s="6">
        <f>IF(AND(ISNUMBER('评分录入'!Z16),'评分录入'!Z16=0.5),1,0)</f>
        <v>0</v>
      </c>
      <c r="K68" s="6">
        <f>IF(AND(ISNUMBER('评分录入'!Z16),'评分录入'!Z16=0),1,0)</f>
        <v>0</v>
      </c>
      <c r="L68" s="6">
        <f>G68-H68</f>
        <v>0</v>
      </c>
      <c r="M68" s="7">
        <f>IF(H68=0,"",(I68+J68*0.5)/H68)</f>
        <v/>
      </c>
    </row>
    <row r="69" spans="1:13" ht="28" customHeight="1">
      <c r="A69" s="4" t="s">
        <v>72</v>
      </c>
      <c r="B69" s="4" t="s">
        <v>77</v>
      </c>
      <c r="C69" s="4" t="s">
        <v>75</v>
      </c>
      <c r="D69" s="4" t="s">
        <v>87</v>
      </c>
      <c r="E69" s="4" t="s">
        <v>119</v>
      </c>
      <c r="F69" s="4">
        <v>1</v>
      </c>
      <c r="G69" s="6">
        <f>IF('评分录入'!M16="纳入",1,0)</f>
        <v>0</v>
      </c>
      <c r="H69" s="6">
        <f>IF(ISNUMBER('评分录入'!AA16),1,0)</f>
        <v>0</v>
      </c>
      <c r="I69" s="6">
        <f>IF(AND(ISNUMBER('评分录入'!AA16),'评分录入'!AA16=1),1,0)</f>
        <v>0</v>
      </c>
      <c r="J69" s="6">
        <f>IF(AND(ISNUMBER('评分录入'!AA16),'评分录入'!AA16=0.5),1,0)</f>
        <v>0</v>
      </c>
      <c r="K69" s="6">
        <f>IF(AND(ISNUMBER('评分录入'!AA16),'评分录入'!AA16=0),1,0)</f>
        <v>0</v>
      </c>
      <c r="L69" s="6">
        <f>G69-H69</f>
        <v>0</v>
      </c>
      <c r="M69" s="7">
        <f>IF(H69=0,"",(I69+J69*0.5)/H69)</f>
        <v/>
      </c>
    </row>
    <row r="70" spans="1:13" ht="28" customHeight="1">
      <c r="A70" s="4" t="s">
        <v>72</v>
      </c>
      <c r="B70" s="4" t="s">
        <v>77</v>
      </c>
      <c r="C70" s="4" t="s">
        <v>75</v>
      </c>
      <c r="D70" s="4" t="s">
        <v>87</v>
      </c>
      <c r="E70" s="4" t="s">
        <v>120</v>
      </c>
      <c r="F70" s="4">
        <v>1</v>
      </c>
      <c r="G70" s="6">
        <f>IF('评分录入'!M16="纳入",1,0)</f>
        <v>0</v>
      </c>
      <c r="H70" s="6">
        <f>IF(ISNUMBER('评分录入'!AB16),1,0)</f>
        <v>0</v>
      </c>
      <c r="I70" s="6">
        <f>IF(AND(ISNUMBER('评分录入'!AB16),'评分录入'!AB16=1),1,0)</f>
        <v>0</v>
      </c>
      <c r="J70" s="6">
        <f>IF(AND(ISNUMBER('评分录入'!AB16),'评分录入'!AB16=0.5),1,0)</f>
        <v>0</v>
      </c>
      <c r="K70" s="6">
        <f>IF(AND(ISNUMBER('评分录入'!AB16),'评分录入'!AB16=0),1,0)</f>
        <v>0</v>
      </c>
      <c r="L70" s="6">
        <f>G70-H70</f>
        <v>0</v>
      </c>
      <c r="M70" s="7">
        <f>IF(H70=0,"",(I70+J70*0.5)/H70)</f>
        <v/>
      </c>
    </row>
    <row r="71" spans="1:13" ht="28" customHeight="1">
      <c r="A71" s="4" t="s">
        <v>72</v>
      </c>
      <c r="B71" s="4" t="s">
        <v>77</v>
      </c>
      <c r="C71" s="4" t="s">
        <v>75</v>
      </c>
      <c r="D71" s="4" t="s">
        <v>87</v>
      </c>
      <c r="E71" s="4" t="s">
        <v>121</v>
      </c>
      <c r="F71" s="4">
        <v>1</v>
      </c>
      <c r="G71" s="6">
        <f>IF('评分录入'!M16="纳入",1,0)</f>
        <v>0</v>
      </c>
      <c r="H71" s="6">
        <f>IF(ISNUMBER('评分录入'!AC16),1,0)</f>
        <v>0</v>
      </c>
      <c r="I71" s="6">
        <f>IF(AND(ISNUMBER('评分录入'!AC16),'评分录入'!AC16=1),1,0)</f>
        <v>0</v>
      </c>
      <c r="J71" s="6">
        <f>IF(AND(ISNUMBER('评分录入'!AC16),'评分录入'!AC16=0.5),1,0)</f>
        <v>0</v>
      </c>
      <c r="K71" s="6">
        <f>IF(AND(ISNUMBER('评分录入'!AC16),'评分录入'!AC16=0),1,0)</f>
        <v>0</v>
      </c>
      <c r="L71" s="6">
        <f>G71-H71</f>
        <v>0</v>
      </c>
      <c r="M71" s="7">
        <f>IF(H71=0,"",(I71+J71*0.5)/H71)</f>
        <v/>
      </c>
    </row>
    <row r="72" spans="1:13" ht="28" customHeight="1">
      <c r="A72" s="4" t="s">
        <v>72</v>
      </c>
      <c r="B72" s="4" t="s">
        <v>77</v>
      </c>
      <c r="C72" s="4" t="s">
        <v>75</v>
      </c>
      <c r="D72" s="4" t="s">
        <v>87</v>
      </c>
      <c r="E72" s="4" t="s">
        <v>122</v>
      </c>
      <c r="F72" s="4">
        <v>1</v>
      </c>
      <c r="G72" s="6">
        <f>IF('评分录入'!M16="纳入",1,0)</f>
        <v>0</v>
      </c>
      <c r="H72" s="6">
        <f>IF(ISNUMBER('评分录入'!AD16),1,0)</f>
        <v>0</v>
      </c>
      <c r="I72" s="6">
        <f>IF(AND(ISNUMBER('评分录入'!AD16),'评分录入'!AD16=1),1,0)</f>
        <v>0</v>
      </c>
      <c r="J72" s="6">
        <f>IF(AND(ISNUMBER('评分录入'!AD16),'评分录入'!AD16=0.5),1,0)</f>
        <v>0</v>
      </c>
      <c r="K72" s="6">
        <f>IF(AND(ISNUMBER('评分录入'!AD16),'评分录入'!AD16=0),1,0)</f>
        <v>0</v>
      </c>
      <c r="L72" s="6">
        <f>G72-H72</f>
        <v>0</v>
      </c>
      <c r="M72" s="7">
        <f>IF(H72=0,"",(I72+J72*0.5)/H72)</f>
        <v/>
      </c>
    </row>
    <row r="73" spans="1:13" ht="28" customHeight="1">
      <c r="A73" s="4" t="s">
        <v>72</v>
      </c>
      <c r="B73" s="4" t="s">
        <v>77</v>
      </c>
      <c r="C73" s="4" t="s">
        <v>78</v>
      </c>
      <c r="D73" s="4" t="s">
        <v>75</v>
      </c>
      <c r="E73" s="4" t="s">
        <v>117</v>
      </c>
      <c r="F73" s="4">
        <v>1</v>
      </c>
      <c r="G73" s="6">
        <f>IF('评分录入'!M67="纳入",1,0)</f>
        <v>0</v>
      </c>
      <c r="H73" s="6">
        <f>IF(ISNUMBER('评分录入'!T67),1,0)</f>
        <v>0</v>
      </c>
      <c r="I73" s="6">
        <f>IF(AND(ISNUMBER('评分录入'!T67),'评分录入'!T67=1),1,0)</f>
        <v>0</v>
      </c>
      <c r="J73" s="6">
        <f>IF(AND(ISNUMBER('评分录入'!T67),'评分录入'!T67=0.5),1,0)</f>
        <v>0</v>
      </c>
      <c r="K73" s="6">
        <f>IF(AND(ISNUMBER('评分录入'!T67),'评分录入'!T67=0),1,0)</f>
        <v>0</v>
      </c>
      <c r="L73" s="6">
        <f>G73-H73</f>
        <v>0</v>
      </c>
      <c r="M73" s="7">
        <f>IF(H73=0,"",(I73+J73*0.5)/H73)</f>
        <v/>
      </c>
    </row>
    <row r="74" spans="1:13" ht="28" customHeight="1">
      <c r="A74" s="4" t="s">
        <v>72</v>
      </c>
      <c r="B74" s="4" t="s">
        <v>77</v>
      </c>
      <c r="C74" s="4" t="s">
        <v>78</v>
      </c>
      <c r="D74" s="4" t="s">
        <v>75</v>
      </c>
      <c r="E74" s="4" t="s">
        <v>118</v>
      </c>
      <c r="F74" s="4">
        <v>1</v>
      </c>
      <c r="G74" s="6">
        <f>IF('评分录入'!M67="纳入",1,0)</f>
        <v>0</v>
      </c>
      <c r="H74" s="6">
        <f>IF(ISNUMBER('评分录入'!Z67),1,0)</f>
        <v>0</v>
      </c>
      <c r="I74" s="6">
        <f>IF(AND(ISNUMBER('评分录入'!Z67),'评分录入'!Z67=1),1,0)</f>
        <v>0</v>
      </c>
      <c r="J74" s="6">
        <f>IF(AND(ISNUMBER('评分录入'!Z67),'评分录入'!Z67=0.5),1,0)</f>
        <v>0</v>
      </c>
      <c r="K74" s="6">
        <f>IF(AND(ISNUMBER('评分录入'!Z67),'评分录入'!Z67=0),1,0)</f>
        <v>0</v>
      </c>
      <c r="L74" s="6">
        <f>G74-H74</f>
        <v>0</v>
      </c>
      <c r="M74" s="7">
        <f>IF(H74=0,"",(I74+J74*0.5)/H74)</f>
        <v/>
      </c>
    </row>
    <row r="75" spans="1:13" ht="28" customHeight="1">
      <c r="A75" s="4" t="s">
        <v>72</v>
      </c>
      <c r="B75" s="4" t="s">
        <v>77</v>
      </c>
      <c r="C75" s="4" t="s">
        <v>78</v>
      </c>
      <c r="D75" s="4" t="s">
        <v>75</v>
      </c>
      <c r="E75" s="4" t="s">
        <v>119</v>
      </c>
      <c r="F75" s="4">
        <v>1</v>
      </c>
      <c r="G75" s="6">
        <f>IF('评分录入'!M67="纳入",1,0)</f>
        <v>0</v>
      </c>
      <c r="H75" s="6">
        <f>IF(ISNUMBER('评分录入'!AA67),1,0)</f>
        <v>0</v>
      </c>
      <c r="I75" s="6">
        <f>IF(AND(ISNUMBER('评分录入'!AA67),'评分录入'!AA67=1),1,0)</f>
        <v>0</v>
      </c>
      <c r="J75" s="6">
        <f>IF(AND(ISNUMBER('评分录入'!AA67),'评分录入'!AA67=0.5),1,0)</f>
        <v>0</v>
      </c>
      <c r="K75" s="6">
        <f>IF(AND(ISNUMBER('评分录入'!AA67),'评分录入'!AA67=0),1,0)</f>
        <v>0</v>
      </c>
      <c r="L75" s="6">
        <f>G75-H75</f>
        <v>0</v>
      </c>
      <c r="M75" s="7">
        <f>IF(H75=0,"",(I75+J75*0.5)/H75)</f>
        <v/>
      </c>
    </row>
    <row r="76" spans="1:13" ht="28" customHeight="1">
      <c r="A76" s="4" t="s">
        <v>72</v>
      </c>
      <c r="B76" s="4" t="s">
        <v>77</v>
      </c>
      <c r="C76" s="4" t="s">
        <v>78</v>
      </c>
      <c r="D76" s="4" t="s">
        <v>75</v>
      </c>
      <c r="E76" s="4" t="s">
        <v>120</v>
      </c>
      <c r="F76" s="4">
        <v>1</v>
      </c>
      <c r="G76" s="6">
        <f>IF('评分录入'!M67="纳入",1,0)</f>
        <v>0</v>
      </c>
      <c r="H76" s="6">
        <f>IF(ISNUMBER('评分录入'!AB67),1,0)</f>
        <v>0</v>
      </c>
      <c r="I76" s="6">
        <f>IF(AND(ISNUMBER('评分录入'!AB67),'评分录入'!AB67=1),1,0)</f>
        <v>0</v>
      </c>
      <c r="J76" s="6">
        <f>IF(AND(ISNUMBER('评分录入'!AB67),'评分录入'!AB67=0.5),1,0)</f>
        <v>0</v>
      </c>
      <c r="K76" s="6">
        <f>IF(AND(ISNUMBER('评分录入'!AB67),'评分录入'!AB67=0),1,0)</f>
        <v>0</v>
      </c>
      <c r="L76" s="6">
        <f>G76-H76</f>
        <v>0</v>
      </c>
      <c r="M76" s="7">
        <f>IF(H76=0,"",(I76+J76*0.5)/H76)</f>
        <v/>
      </c>
    </row>
    <row r="77" spans="1:13" ht="28" customHeight="1">
      <c r="A77" s="4" t="s">
        <v>72</v>
      </c>
      <c r="B77" s="4" t="s">
        <v>77</v>
      </c>
      <c r="C77" s="4" t="s">
        <v>78</v>
      </c>
      <c r="D77" s="4" t="s">
        <v>75</v>
      </c>
      <c r="E77" s="4" t="s">
        <v>121</v>
      </c>
      <c r="F77" s="4">
        <v>1</v>
      </c>
      <c r="G77" s="6">
        <f>IF('评分录入'!M67="纳入",1,0)</f>
        <v>0</v>
      </c>
      <c r="H77" s="6">
        <f>IF(ISNUMBER('评分录入'!AC67),1,0)</f>
        <v>0</v>
      </c>
      <c r="I77" s="6">
        <f>IF(AND(ISNUMBER('评分录入'!AC67),'评分录入'!AC67=1),1,0)</f>
        <v>0</v>
      </c>
      <c r="J77" s="6">
        <f>IF(AND(ISNUMBER('评分录入'!AC67),'评分录入'!AC67=0.5),1,0)</f>
        <v>0</v>
      </c>
      <c r="K77" s="6">
        <f>IF(AND(ISNUMBER('评分录入'!AC67),'评分录入'!AC67=0),1,0)</f>
        <v>0</v>
      </c>
      <c r="L77" s="6">
        <f>G77-H77</f>
        <v>0</v>
      </c>
      <c r="M77" s="7">
        <f>IF(H77=0,"",(I77+J77*0.5)/H77)</f>
        <v/>
      </c>
    </row>
    <row r="78" spans="1:13" ht="28" customHeight="1">
      <c r="A78" s="4" t="s">
        <v>72</v>
      </c>
      <c r="B78" s="4" t="s">
        <v>77</v>
      </c>
      <c r="C78" s="4" t="s">
        <v>78</v>
      </c>
      <c r="D78" s="4" t="s">
        <v>75</v>
      </c>
      <c r="E78" s="4" t="s">
        <v>122</v>
      </c>
      <c r="F78" s="4">
        <v>1</v>
      </c>
      <c r="G78" s="6">
        <f>IF('评分录入'!M67="纳入",1,0)</f>
        <v>0</v>
      </c>
      <c r="H78" s="6">
        <f>IF(ISNUMBER('评分录入'!AD67),1,0)</f>
        <v>0</v>
      </c>
      <c r="I78" s="6">
        <f>IF(AND(ISNUMBER('评分录入'!AD67),'评分录入'!AD67=1),1,0)</f>
        <v>0</v>
      </c>
      <c r="J78" s="6">
        <f>IF(AND(ISNUMBER('评分录入'!AD67),'评分录入'!AD67=0.5),1,0)</f>
        <v>0</v>
      </c>
      <c r="K78" s="6">
        <f>IF(AND(ISNUMBER('评分录入'!AD67),'评分录入'!AD67=0),1,0)</f>
        <v>0</v>
      </c>
      <c r="L78" s="6">
        <f>G78-H78</f>
        <v>0</v>
      </c>
      <c r="M78" s="7">
        <f>IF(H78=0,"",(I78+J78*0.5)/H78)</f>
        <v/>
      </c>
    </row>
    <row r="79" spans="1:13" ht="28" customHeight="1">
      <c r="A79" s="4" t="s">
        <v>72</v>
      </c>
      <c r="B79" s="4" t="s">
        <v>77</v>
      </c>
      <c r="C79" s="4" t="s">
        <v>75</v>
      </c>
      <c r="D79" s="4" t="s">
        <v>89</v>
      </c>
      <c r="E79" s="4" t="s">
        <v>117</v>
      </c>
      <c r="F79" s="4">
        <v>1</v>
      </c>
      <c r="G79" s="6">
        <f>IF('评分录入'!M61="纳入",1,0)</f>
        <v>0</v>
      </c>
      <c r="H79" s="6">
        <f>IF(ISNUMBER('评分录入'!T61),1,0)</f>
        <v>0</v>
      </c>
      <c r="I79" s="6">
        <f>IF(AND(ISNUMBER('评分录入'!T61),'评分录入'!T61=1),1,0)</f>
        <v>0</v>
      </c>
      <c r="J79" s="6">
        <f>IF(AND(ISNUMBER('评分录入'!T61),'评分录入'!T61=0.5),1,0)</f>
        <v>0</v>
      </c>
      <c r="K79" s="6">
        <f>IF(AND(ISNUMBER('评分录入'!T61),'评分录入'!T61=0),1,0)</f>
        <v>0</v>
      </c>
      <c r="L79" s="6">
        <f>G79-H79</f>
        <v>0</v>
      </c>
      <c r="M79" s="7">
        <f>IF(H79=0,"",(I79+J79*0.5)/H79)</f>
        <v/>
      </c>
    </row>
    <row r="80" spans="1:13" ht="28" customHeight="1">
      <c r="A80" s="4" t="s">
        <v>72</v>
      </c>
      <c r="B80" s="4" t="s">
        <v>77</v>
      </c>
      <c r="C80" s="4" t="s">
        <v>75</v>
      </c>
      <c r="D80" s="4" t="s">
        <v>89</v>
      </c>
      <c r="E80" s="4" t="s">
        <v>118</v>
      </c>
      <c r="F80" s="4">
        <v>1</v>
      </c>
      <c r="G80" s="6">
        <f>IF('评分录入'!M61="纳入",1,0)</f>
        <v>0</v>
      </c>
      <c r="H80" s="6">
        <f>IF(ISNUMBER('评分录入'!Z61),1,0)</f>
        <v>0</v>
      </c>
      <c r="I80" s="6">
        <f>IF(AND(ISNUMBER('评分录入'!Z61),'评分录入'!Z61=1),1,0)</f>
        <v>0</v>
      </c>
      <c r="J80" s="6">
        <f>IF(AND(ISNUMBER('评分录入'!Z61),'评分录入'!Z61=0.5),1,0)</f>
        <v>0</v>
      </c>
      <c r="K80" s="6">
        <f>IF(AND(ISNUMBER('评分录入'!Z61),'评分录入'!Z61=0),1,0)</f>
        <v>0</v>
      </c>
      <c r="L80" s="6">
        <f>G80-H80</f>
        <v>0</v>
      </c>
      <c r="M80" s="7">
        <f>IF(H80=0,"",(I80+J80*0.5)/H80)</f>
        <v/>
      </c>
    </row>
    <row r="81" spans="1:13" ht="28" customHeight="1">
      <c r="A81" s="4" t="s">
        <v>72</v>
      </c>
      <c r="B81" s="4" t="s">
        <v>77</v>
      </c>
      <c r="C81" s="4" t="s">
        <v>75</v>
      </c>
      <c r="D81" s="4" t="s">
        <v>89</v>
      </c>
      <c r="E81" s="4" t="s">
        <v>119</v>
      </c>
      <c r="F81" s="4">
        <v>1</v>
      </c>
      <c r="G81" s="6">
        <f>IF('评分录入'!M61="纳入",1,0)</f>
        <v>0</v>
      </c>
      <c r="H81" s="6">
        <f>IF(ISNUMBER('评分录入'!AA61),1,0)</f>
        <v>0</v>
      </c>
      <c r="I81" s="6">
        <f>IF(AND(ISNUMBER('评分录入'!AA61),'评分录入'!AA61=1),1,0)</f>
        <v>0</v>
      </c>
      <c r="J81" s="6">
        <f>IF(AND(ISNUMBER('评分录入'!AA61),'评分录入'!AA61=0.5),1,0)</f>
        <v>0</v>
      </c>
      <c r="K81" s="6">
        <f>IF(AND(ISNUMBER('评分录入'!AA61),'评分录入'!AA61=0),1,0)</f>
        <v>0</v>
      </c>
      <c r="L81" s="6">
        <f>G81-H81</f>
        <v>0</v>
      </c>
      <c r="M81" s="7">
        <f>IF(H81=0,"",(I81+J81*0.5)/H81)</f>
        <v/>
      </c>
    </row>
    <row r="82" spans="1:13" ht="28" customHeight="1">
      <c r="A82" s="4" t="s">
        <v>72</v>
      </c>
      <c r="B82" s="4" t="s">
        <v>77</v>
      </c>
      <c r="C82" s="4" t="s">
        <v>75</v>
      </c>
      <c r="D82" s="4" t="s">
        <v>89</v>
      </c>
      <c r="E82" s="4" t="s">
        <v>120</v>
      </c>
      <c r="F82" s="4">
        <v>1</v>
      </c>
      <c r="G82" s="6">
        <f>IF('评分录入'!M61="纳入",1,0)</f>
        <v>0</v>
      </c>
      <c r="H82" s="6">
        <f>IF(ISNUMBER('评分录入'!AB61),1,0)</f>
        <v>0</v>
      </c>
      <c r="I82" s="6">
        <f>IF(AND(ISNUMBER('评分录入'!AB61),'评分录入'!AB61=1),1,0)</f>
        <v>0</v>
      </c>
      <c r="J82" s="6">
        <f>IF(AND(ISNUMBER('评分录入'!AB61),'评分录入'!AB61=0.5),1,0)</f>
        <v>0</v>
      </c>
      <c r="K82" s="6">
        <f>IF(AND(ISNUMBER('评分录入'!AB61),'评分录入'!AB61=0),1,0)</f>
        <v>0</v>
      </c>
      <c r="L82" s="6">
        <f>G82-H82</f>
        <v>0</v>
      </c>
      <c r="M82" s="7">
        <f>IF(H82=0,"",(I82+J82*0.5)/H82)</f>
        <v/>
      </c>
    </row>
    <row r="83" spans="1:13" ht="28" customHeight="1">
      <c r="A83" s="4" t="s">
        <v>72</v>
      </c>
      <c r="B83" s="4" t="s">
        <v>77</v>
      </c>
      <c r="C83" s="4" t="s">
        <v>75</v>
      </c>
      <c r="D83" s="4" t="s">
        <v>89</v>
      </c>
      <c r="E83" s="4" t="s">
        <v>121</v>
      </c>
      <c r="F83" s="4">
        <v>1</v>
      </c>
      <c r="G83" s="6">
        <f>IF('评分录入'!M61="纳入",1,0)</f>
        <v>0</v>
      </c>
      <c r="H83" s="6">
        <f>IF(ISNUMBER('评分录入'!AC61),1,0)</f>
        <v>0</v>
      </c>
      <c r="I83" s="6">
        <f>IF(AND(ISNUMBER('评分录入'!AC61),'评分录入'!AC61=1),1,0)</f>
        <v>0</v>
      </c>
      <c r="J83" s="6">
        <f>IF(AND(ISNUMBER('评分录入'!AC61),'评分录入'!AC61=0.5),1,0)</f>
        <v>0</v>
      </c>
      <c r="K83" s="6">
        <f>IF(AND(ISNUMBER('评分录入'!AC61),'评分录入'!AC61=0),1,0)</f>
        <v>0</v>
      </c>
      <c r="L83" s="6">
        <f>G83-H83</f>
        <v>0</v>
      </c>
      <c r="M83" s="7">
        <f>IF(H83=0,"",(I83+J83*0.5)/H83)</f>
        <v/>
      </c>
    </row>
    <row r="84" spans="1:13" ht="28" customHeight="1">
      <c r="A84" s="4" t="s">
        <v>72</v>
      </c>
      <c r="B84" s="4" t="s">
        <v>77</v>
      </c>
      <c r="C84" s="4" t="s">
        <v>75</v>
      </c>
      <c r="D84" s="4" t="s">
        <v>89</v>
      </c>
      <c r="E84" s="4" t="s">
        <v>122</v>
      </c>
      <c r="F84" s="4">
        <v>1</v>
      </c>
      <c r="G84" s="6">
        <f>IF('评分录入'!M61="纳入",1,0)</f>
        <v>0</v>
      </c>
      <c r="H84" s="6">
        <f>IF(ISNUMBER('评分录入'!AD61),1,0)</f>
        <v>0</v>
      </c>
      <c r="I84" s="6">
        <f>IF(AND(ISNUMBER('评分录入'!AD61),'评分录入'!AD61=1),1,0)</f>
        <v>0</v>
      </c>
      <c r="J84" s="6">
        <f>IF(AND(ISNUMBER('评分录入'!AD61),'评分录入'!AD61=0.5),1,0)</f>
        <v>0</v>
      </c>
      <c r="K84" s="6">
        <f>IF(AND(ISNUMBER('评分录入'!AD61),'评分录入'!AD61=0),1,0)</f>
        <v>0</v>
      </c>
      <c r="L84" s="6">
        <f>G84-H84</f>
        <v>0</v>
      </c>
      <c r="M84" s="7">
        <f>IF(H84=0,"",(I84+J84*0.5)/H84)</f>
        <v/>
      </c>
    </row>
    <row r="85" spans="1:13" ht="28" customHeight="1">
      <c r="A85" s="4" t="s">
        <v>72</v>
      </c>
      <c r="B85" s="4" t="s">
        <v>77</v>
      </c>
      <c r="C85" s="4" t="s">
        <v>74</v>
      </c>
      <c r="D85" s="4" t="s">
        <v>78</v>
      </c>
      <c r="E85" s="4" t="s">
        <v>117</v>
      </c>
      <c r="F85" s="4">
        <v>1</v>
      </c>
      <c r="G85" s="6">
        <f>IF('评分录入'!M51="纳入",1,0)</f>
        <v>0</v>
      </c>
      <c r="H85" s="6">
        <f>IF(ISNUMBER('评分录入'!T51),1,0)</f>
        <v>0</v>
      </c>
      <c r="I85" s="6">
        <f>IF(AND(ISNUMBER('评分录入'!T51),'评分录入'!T51=1),1,0)</f>
        <v>0</v>
      </c>
      <c r="J85" s="6">
        <f>IF(AND(ISNUMBER('评分录入'!T51),'评分录入'!T51=0.5),1,0)</f>
        <v>0</v>
      </c>
      <c r="K85" s="6">
        <f>IF(AND(ISNUMBER('评分录入'!T51),'评分录入'!T51=0),1,0)</f>
        <v>0</v>
      </c>
      <c r="L85" s="6">
        <f>G85-H85</f>
        <v>0</v>
      </c>
      <c r="M85" s="7">
        <f>IF(H85=0,"",(I85+J85*0.5)/H85)</f>
        <v/>
      </c>
    </row>
    <row r="86" spans="1:13" ht="28" customHeight="1">
      <c r="A86" s="4" t="s">
        <v>72</v>
      </c>
      <c r="B86" s="4" t="s">
        <v>77</v>
      </c>
      <c r="C86" s="4" t="s">
        <v>74</v>
      </c>
      <c r="D86" s="4" t="s">
        <v>78</v>
      </c>
      <c r="E86" s="4" t="s">
        <v>118</v>
      </c>
      <c r="F86" s="4">
        <v>1</v>
      </c>
      <c r="G86" s="6">
        <f>IF('评分录入'!M51="纳入",1,0)</f>
        <v>0</v>
      </c>
      <c r="H86" s="6">
        <f>IF(ISNUMBER('评分录入'!Z51),1,0)</f>
        <v>0</v>
      </c>
      <c r="I86" s="6">
        <f>IF(AND(ISNUMBER('评分录入'!Z51),'评分录入'!Z51=1),1,0)</f>
        <v>0</v>
      </c>
      <c r="J86" s="6">
        <f>IF(AND(ISNUMBER('评分录入'!Z51),'评分录入'!Z51=0.5),1,0)</f>
        <v>0</v>
      </c>
      <c r="K86" s="6">
        <f>IF(AND(ISNUMBER('评分录入'!Z51),'评分录入'!Z51=0),1,0)</f>
        <v>0</v>
      </c>
      <c r="L86" s="6">
        <f>G86-H86</f>
        <v>0</v>
      </c>
      <c r="M86" s="7">
        <f>IF(H86=0,"",(I86+J86*0.5)/H86)</f>
        <v/>
      </c>
    </row>
    <row r="87" spans="1:13" ht="28" customHeight="1">
      <c r="A87" s="4" t="s">
        <v>72</v>
      </c>
      <c r="B87" s="4" t="s">
        <v>77</v>
      </c>
      <c r="C87" s="4" t="s">
        <v>74</v>
      </c>
      <c r="D87" s="4" t="s">
        <v>78</v>
      </c>
      <c r="E87" s="4" t="s">
        <v>119</v>
      </c>
      <c r="F87" s="4">
        <v>1</v>
      </c>
      <c r="G87" s="6">
        <f>IF('评分录入'!M51="纳入",1,0)</f>
        <v>0</v>
      </c>
      <c r="H87" s="6">
        <f>IF(ISNUMBER('评分录入'!AA51),1,0)</f>
        <v>0</v>
      </c>
      <c r="I87" s="6">
        <f>IF(AND(ISNUMBER('评分录入'!AA51),'评分录入'!AA51=1),1,0)</f>
        <v>0</v>
      </c>
      <c r="J87" s="6">
        <f>IF(AND(ISNUMBER('评分录入'!AA51),'评分录入'!AA51=0.5),1,0)</f>
        <v>0</v>
      </c>
      <c r="K87" s="6">
        <f>IF(AND(ISNUMBER('评分录入'!AA51),'评分录入'!AA51=0),1,0)</f>
        <v>0</v>
      </c>
      <c r="L87" s="6">
        <f>G87-H87</f>
        <v>0</v>
      </c>
      <c r="M87" s="7">
        <f>IF(H87=0,"",(I87+J87*0.5)/H87)</f>
        <v/>
      </c>
    </row>
    <row r="88" spans="1:13" ht="28" customHeight="1">
      <c r="A88" s="4" t="s">
        <v>72</v>
      </c>
      <c r="B88" s="4" t="s">
        <v>77</v>
      </c>
      <c r="C88" s="4" t="s">
        <v>74</v>
      </c>
      <c r="D88" s="4" t="s">
        <v>78</v>
      </c>
      <c r="E88" s="4" t="s">
        <v>120</v>
      </c>
      <c r="F88" s="4">
        <v>1</v>
      </c>
      <c r="G88" s="6">
        <f>IF('评分录入'!M51="纳入",1,0)</f>
        <v>0</v>
      </c>
      <c r="H88" s="6">
        <f>IF(ISNUMBER('评分录入'!AB51),1,0)</f>
        <v>0</v>
      </c>
      <c r="I88" s="6">
        <f>IF(AND(ISNUMBER('评分录入'!AB51),'评分录入'!AB51=1),1,0)</f>
        <v>0</v>
      </c>
      <c r="J88" s="6">
        <f>IF(AND(ISNUMBER('评分录入'!AB51),'评分录入'!AB51=0.5),1,0)</f>
        <v>0</v>
      </c>
      <c r="K88" s="6">
        <f>IF(AND(ISNUMBER('评分录入'!AB51),'评分录入'!AB51=0),1,0)</f>
        <v>0</v>
      </c>
      <c r="L88" s="6">
        <f>G88-H88</f>
        <v>0</v>
      </c>
      <c r="M88" s="7">
        <f>IF(H88=0,"",(I88+J88*0.5)/H88)</f>
        <v/>
      </c>
    </row>
    <row r="89" spans="1:13" ht="28" customHeight="1">
      <c r="A89" s="4" t="s">
        <v>72</v>
      </c>
      <c r="B89" s="4" t="s">
        <v>77</v>
      </c>
      <c r="C89" s="4" t="s">
        <v>74</v>
      </c>
      <c r="D89" s="4" t="s">
        <v>78</v>
      </c>
      <c r="E89" s="4" t="s">
        <v>121</v>
      </c>
      <c r="F89" s="4">
        <v>1</v>
      </c>
      <c r="G89" s="6">
        <f>IF('评分录入'!M51="纳入",1,0)</f>
        <v>0</v>
      </c>
      <c r="H89" s="6">
        <f>IF(ISNUMBER('评分录入'!AC51),1,0)</f>
        <v>0</v>
      </c>
      <c r="I89" s="6">
        <f>IF(AND(ISNUMBER('评分录入'!AC51),'评分录入'!AC51=1),1,0)</f>
        <v>0</v>
      </c>
      <c r="J89" s="6">
        <f>IF(AND(ISNUMBER('评分录入'!AC51),'评分录入'!AC51=0.5),1,0)</f>
        <v>0</v>
      </c>
      <c r="K89" s="6">
        <f>IF(AND(ISNUMBER('评分录入'!AC51),'评分录入'!AC51=0),1,0)</f>
        <v>0</v>
      </c>
      <c r="L89" s="6">
        <f>G89-H89</f>
        <v>0</v>
      </c>
      <c r="M89" s="7">
        <f>IF(H89=0,"",(I89+J89*0.5)/H89)</f>
        <v/>
      </c>
    </row>
    <row r="90" spans="1:13" ht="28" customHeight="1">
      <c r="A90" s="4" t="s">
        <v>72</v>
      </c>
      <c r="B90" s="4" t="s">
        <v>77</v>
      </c>
      <c r="C90" s="4" t="s">
        <v>74</v>
      </c>
      <c r="D90" s="4" t="s">
        <v>78</v>
      </c>
      <c r="E90" s="4" t="s">
        <v>122</v>
      </c>
      <c r="F90" s="4">
        <v>1</v>
      </c>
      <c r="G90" s="6">
        <f>IF('评分录入'!M51="纳入",1,0)</f>
        <v>0</v>
      </c>
      <c r="H90" s="6">
        <f>IF(ISNUMBER('评分录入'!AD51),1,0)</f>
        <v>0</v>
      </c>
      <c r="I90" s="6">
        <f>IF(AND(ISNUMBER('评分录入'!AD51),'评分录入'!AD51=1),1,0)</f>
        <v>0</v>
      </c>
      <c r="J90" s="6">
        <f>IF(AND(ISNUMBER('评分录入'!AD51),'评分录入'!AD51=0.5),1,0)</f>
        <v>0</v>
      </c>
      <c r="K90" s="6">
        <f>IF(AND(ISNUMBER('评分录入'!AD51),'评分录入'!AD51=0),1,0)</f>
        <v>0</v>
      </c>
      <c r="L90" s="6">
        <f>G90-H90</f>
        <v>0</v>
      </c>
      <c r="M90" s="7">
        <f>IF(H90=0,"",(I90+J90*0.5)/H90)</f>
        <v/>
      </c>
    </row>
    <row r="91" spans="1:13" ht="28" customHeight="1">
      <c r="A91" s="4" t="s">
        <v>72</v>
      </c>
      <c r="B91" s="4" t="s">
        <v>77</v>
      </c>
      <c r="C91" s="4" t="s">
        <v>94</v>
      </c>
      <c r="D91" s="4" t="s">
        <v>87</v>
      </c>
      <c r="E91" s="4" t="s">
        <v>117</v>
      </c>
      <c r="F91" s="4">
        <v>1</v>
      </c>
      <c r="G91" s="6">
        <f>IF('评分录入'!M31="纳入",1,0)</f>
        <v>0</v>
      </c>
      <c r="H91" s="6">
        <f>IF(ISNUMBER('评分录入'!T31),1,0)</f>
        <v>0</v>
      </c>
      <c r="I91" s="6">
        <f>IF(AND(ISNUMBER('评分录入'!T31),'评分录入'!T31=1),1,0)</f>
        <v>0</v>
      </c>
      <c r="J91" s="6">
        <f>IF(AND(ISNUMBER('评分录入'!T31),'评分录入'!T31=0.5),1,0)</f>
        <v>0</v>
      </c>
      <c r="K91" s="6">
        <f>IF(AND(ISNUMBER('评分录入'!T31),'评分录入'!T31=0),1,0)</f>
        <v>0</v>
      </c>
      <c r="L91" s="6">
        <f>G91-H91</f>
        <v>0</v>
      </c>
      <c r="M91" s="7">
        <f>IF(H91=0,"",(I91+J91*0.5)/H91)</f>
        <v/>
      </c>
    </row>
    <row r="92" spans="1:13" ht="28" customHeight="1">
      <c r="A92" s="4" t="s">
        <v>72</v>
      </c>
      <c r="B92" s="4" t="s">
        <v>77</v>
      </c>
      <c r="C92" s="4" t="s">
        <v>94</v>
      </c>
      <c r="D92" s="4" t="s">
        <v>87</v>
      </c>
      <c r="E92" s="4" t="s">
        <v>118</v>
      </c>
      <c r="F92" s="4">
        <v>1</v>
      </c>
      <c r="G92" s="6">
        <f>IF('评分录入'!M31="纳入",1,0)</f>
        <v>0</v>
      </c>
      <c r="H92" s="6">
        <f>IF(ISNUMBER('评分录入'!Z31),1,0)</f>
        <v>0</v>
      </c>
      <c r="I92" s="6">
        <f>IF(AND(ISNUMBER('评分录入'!Z31),'评分录入'!Z31=1),1,0)</f>
        <v>0</v>
      </c>
      <c r="J92" s="6">
        <f>IF(AND(ISNUMBER('评分录入'!Z31),'评分录入'!Z31=0.5),1,0)</f>
        <v>0</v>
      </c>
      <c r="K92" s="6">
        <f>IF(AND(ISNUMBER('评分录入'!Z31),'评分录入'!Z31=0),1,0)</f>
        <v>0</v>
      </c>
      <c r="L92" s="6">
        <f>G92-H92</f>
        <v>0</v>
      </c>
      <c r="M92" s="7">
        <f>IF(H92=0,"",(I92+J92*0.5)/H92)</f>
        <v/>
      </c>
    </row>
    <row r="93" spans="1:13" ht="28" customHeight="1">
      <c r="A93" s="4" t="s">
        <v>72</v>
      </c>
      <c r="B93" s="4" t="s">
        <v>77</v>
      </c>
      <c r="C93" s="4" t="s">
        <v>94</v>
      </c>
      <c r="D93" s="4" t="s">
        <v>87</v>
      </c>
      <c r="E93" s="4" t="s">
        <v>119</v>
      </c>
      <c r="F93" s="4">
        <v>1</v>
      </c>
      <c r="G93" s="6">
        <f>IF('评分录入'!M31="纳入",1,0)</f>
        <v>0</v>
      </c>
      <c r="H93" s="6">
        <f>IF(ISNUMBER('评分录入'!AA31),1,0)</f>
        <v>0</v>
      </c>
      <c r="I93" s="6">
        <f>IF(AND(ISNUMBER('评分录入'!AA31),'评分录入'!AA31=1),1,0)</f>
        <v>0</v>
      </c>
      <c r="J93" s="6">
        <f>IF(AND(ISNUMBER('评分录入'!AA31),'评分录入'!AA31=0.5),1,0)</f>
        <v>0</v>
      </c>
      <c r="K93" s="6">
        <f>IF(AND(ISNUMBER('评分录入'!AA31),'评分录入'!AA31=0),1,0)</f>
        <v>0</v>
      </c>
      <c r="L93" s="6">
        <f>G93-H93</f>
        <v>0</v>
      </c>
      <c r="M93" s="7">
        <f>IF(H93=0,"",(I93+J93*0.5)/H93)</f>
        <v/>
      </c>
    </row>
    <row r="94" spans="1:13" ht="28" customHeight="1">
      <c r="A94" s="4" t="s">
        <v>72</v>
      </c>
      <c r="B94" s="4" t="s">
        <v>77</v>
      </c>
      <c r="C94" s="4" t="s">
        <v>94</v>
      </c>
      <c r="D94" s="4" t="s">
        <v>87</v>
      </c>
      <c r="E94" s="4" t="s">
        <v>120</v>
      </c>
      <c r="F94" s="4">
        <v>1</v>
      </c>
      <c r="G94" s="6">
        <f>IF('评分录入'!M31="纳入",1,0)</f>
        <v>0</v>
      </c>
      <c r="H94" s="6">
        <f>IF(ISNUMBER('评分录入'!AB31),1,0)</f>
        <v>0</v>
      </c>
      <c r="I94" s="6">
        <f>IF(AND(ISNUMBER('评分录入'!AB31),'评分录入'!AB31=1),1,0)</f>
        <v>0</v>
      </c>
      <c r="J94" s="6">
        <f>IF(AND(ISNUMBER('评分录入'!AB31),'评分录入'!AB31=0.5),1,0)</f>
        <v>0</v>
      </c>
      <c r="K94" s="6">
        <f>IF(AND(ISNUMBER('评分录入'!AB31),'评分录入'!AB31=0),1,0)</f>
        <v>0</v>
      </c>
      <c r="L94" s="6">
        <f>G94-H94</f>
        <v>0</v>
      </c>
      <c r="M94" s="7">
        <f>IF(H94=0,"",(I94+J94*0.5)/H94)</f>
        <v/>
      </c>
    </row>
    <row r="95" spans="1:13" ht="28" customHeight="1">
      <c r="A95" s="4" t="s">
        <v>72</v>
      </c>
      <c r="B95" s="4" t="s">
        <v>77</v>
      </c>
      <c r="C95" s="4" t="s">
        <v>94</v>
      </c>
      <c r="D95" s="4" t="s">
        <v>87</v>
      </c>
      <c r="E95" s="4" t="s">
        <v>121</v>
      </c>
      <c r="F95" s="4">
        <v>1</v>
      </c>
      <c r="G95" s="6">
        <f>IF('评分录入'!M31="纳入",1,0)</f>
        <v>0</v>
      </c>
      <c r="H95" s="6">
        <f>IF(ISNUMBER('评分录入'!AC31),1,0)</f>
        <v>0</v>
      </c>
      <c r="I95" s="6">
        <f>IF(AND(ISNUMBER('评分录入'!AC31),'评分录入'!AC31=1),1,0)</f>
        <v>0</v>
      </c>
      <c r="J95" s="6">
        <f>IF(AND(ISNUMBER('评分录入'!AC31),'评分录入'!AC31=0.5),1,0)</f>
        <v>0</v>
      </c>
      <c r="K95" s="6">
        <f>IF(AND(ISNUMBER('评分录入'!AC31),'评分录入'!AC31=0),1,0)</f>
        <v>0</v>
      </c>
      <c r="L95" s="6">
        <f>G95-H95</f>
        <v>0</v>
      </c>
      <c r="M95" s="7">
        <f>IF(H95=0,"",(I95+J95*0.5)/H95)</f>
        <v/>
      </c>
    </row>
    <row r="96" spans="1:13" ht="28" customHeight="1">
      <c r="A96" s="4" t="s">
        <v>72</v>
      </c>
      <c r="B96" s="4" t="s">
        <v>77</v>
      </c>
      <c r="C96" s="4" t="s">
        <v>94</v>
      </c>
      <c r="D96" s="4" t="s">
        <v>87</v>
      </c>
      <c r="E96" s="4" t="s">
        <v>122</v>
      </c>
      <c r="F96" s="4">
        <v>1</v>
      </c>
      <c r="G96" s="6">
        <f>IF('评分录入'!M31="纳入",1,0)</f>
        <v>0</v>
      </c>
      <c r="H96" s="6">
        <f>IF(ISNUMBER('评分录入'!AD31),1,0)</f>
        <v>0</v>
      </c>
      <c r="I96" s="6">
        <f>IF(AND(ISNUMBER('评分录入'!AD31),'评分录入'!AD31=1),1,0)</f>
        <v>0</v>
      </c>
      <c r="J96" s="6">
        <f>IF(AND(ISNUMBER('评分录入'!AD31),'评分录入'!AD31=0.5),1,0)</f>
        <v>0</v>
      </c>
      <c r="K96" s="6">
        <f>IF(AND(ISNUMBER('评分录入'!AD31),'评分录入'!AD31=0),1,0)</f>
        <v>0</v>
      </c>
      <c r="L96" s="6">
        <f>G96-H96</f>
        <v>0</v>
      </c>
      <c r="M96" s="7">
        <f>IF(H96=0,"",(I96+J96*0.5)/H96)</f>
        <v/>
      </c>
    </row>
    <row r="97" spans="1:13" ht="28" customHeight="1">
      <c r="A97" s="4" t="s">
        <v>72</v>
      </c>
      <c r="B97" s="4" t="s">
        <v>77</v>
      </c>
      <c r="C97" s="4" t="s">
        <v>94</v>
      </c>
      <c r="D97" s="4" t="s">
        <v>75</v>
      </c>
      <c r="E97" s="4" t="s">
        <v>117</v>
      </c>
      <c r="F97" s="4">
        <v>1</v>
      </c>
      <c r="G97" s="6">
        <f>IF('评分录入'!M59="纳入",1,0)</f>
        <v>0</v>
      </c>
      <c r="H97" s="6">
        <f>IF(ISNUMBER('评分录入'!T59),1,0)</f>
        <v>0</v>
      </c>
      <c r="I97" s="6">
        <f>IF(AND(ISNUMBER('评分录入'!T59),'评分录入'!T59=1),1,0)</f>
        <v>0</v>
      </c>
      <c r="J97" s="6">
        <f>IF(AND(ISNUMBER('评分录入'!T59),'评分录入'!T59=0.5),1,0)</f>
        <v>0</v>
      </c>
      <c r="K97" s="6">
        <f>IF(AND(ISNUMBER('评分录入'!T59),'评分录入'!T59=0),1,0)</f>
        <v>0</v>
      </c>
      <c r="L97" s="6">
        <f>G97-H97</f>
        <v>0</v>
      </c>
      <c r="M97" s="7">
        <f>IF(H97=0,"",(I97+J97*0.5)/H97)</f>
        <v/>
      </c>
    </row>
    <row r="98" spans="1:13" ht="28" customHeight="1">
      <c r="A98" s="4" t="s">
        <v>72</v>
      </c>
      <c r="B98" s="4" t="s">
        <v>77</v>
      </c>
      <c r="C98" s="4" t="s">
        <v>94</v>
      </c>
      <c r="D98" s="4" t="s">
        <v>75</v>
      </c>
      <c r="E98" s="4" t="s">
        <v>118</v>
      </c>
      <c r="F98" s="4">
        <v>1</v>
      </c>
      <c r="G98" s="6">
        <f>IF('评分录入'!M59="纳入",1,0)</f>
        <v>0</v>
      </c>
      <c r="H98" s="6">
        <f>IF(ISNUMBER('评分录入'!Z59),1,0)</f>
        <v>0</v>
      </c>
      <c r="I98" s="6">
        <f>IF(AND(ISNUMBER('评分录入'!Z59),'评分录入'!Z59=1),1,0)</f>
        <v>0</v>
      </c>
      <c r="J98" s="6">
        <f>IF(AND(ISNUMBER('评分录入'!Z59),'评分录入'!Z59=0.5),1,0)</f>
        <v>0</v>
      </c>
      <c r="K98" s="6">
        <f>IF(AND(ISNUMBER('评分录入'!Z59),'评分录入'!Z59=0),1,0)</f>
        <v>0</v>
      </c>
      <c r="L98" s="6">
        <f>G98-H98</f>
        <v>0</v>
      </c>
      <c r="M98" s="7">
        <f>IF(H98=0,"",(I98+J98*0.5)/H98)</f>
        <v/>
      </c>
    </row>
    <row r="99" spans="1:13" ht="28" customHeight="1">
      <c r="A99" s="4" t="s">
        <v>72</v>
      </c>
      <c r="B99" s="4" t="s">
        <v>77</v>
      </c>
      <c r="C99" s="4" t="s">
        <v>94</v>
      </c>
      <c r="D99" s="4" t="s">
        <v>75</v>
      </c>
      <c r="E99" s="4" t="s">
        <v>119</v>
      </c>
      <c r="F99" s="4">
        <v>1</v>
      </c>
      <c r="G99" s="6">
        <f>IF('评分录入'!M59="纳入",1,0)</f>
        <v>0</v>
      </c>
      <c r="H99" s="6">
        <f>IF(ISNUMBER('评分录入'!AA59),1,0)</f>
        <v>0</v>
      </c>
      <c r="I99" s="6">
        <f>IF(AND(ISNUMBER('评分录入'!AA59),'评分录入'!AA59=1),1,0)</f>
        <v>0</v>
      </c>
      <c r="J99" s="6">
        <f>IF(AND(ISNUMBER('评分录入'!AA59),'评分录入'!AA59=0.5),1,0)</f>
        <v>0</v>
      </c>
      <c r="K99" s="6">
        <f>IF(AND(ISNUMBER('评分录入'!AA59),'评分录入'!AA59=0),1,0)</f>
        <v>0</v>
      </c>
      <c r="L99" s="6">
        <f>G99-H99</f>
        <v>0</v>
      </c>
      <c r="M99" s="7">
        <f>IF(H99=0,"",(I99+J99*0.5)/H99)</f>
        <v/>
      </c>
    </row>
    <row r="100" spans="1:13" ht="28" customHeight="1">
      <c r="A100" s="4" t="s">
        <v>72</v>
      </c>
      <c r="B100" s="4" t="s">
        <v>77</v>
      </c>
      <c r="C100" s="4" t="s">
        <v>94</v>
      </c>
      <c r="D100" s="4" t="s">
        <v>75</v>
      </c>
      <c r="E100" s="4" t="s">
        <v>120</v>
      </c>
      <c r="F100" s="4">
        <v>1</v>
      </c>
      <c r="G100" s="6">
        <f>IF('评分录入'!M59="纳入",1,0)</f>
        <v>0</v>
      </c>
      <c r="H100" s="6">
        <f>IF(ISNUMBER('评分录入'!AB59),1,0)</f>
        <v>0</v>
      </c>
      <c r="I100" s="6">
        <f>IF(AND(ISNUMBER('评分录入'!AB59),'评分录入'!AB59=1),1,0)</f>
        <v>0</v>
      </c>
      <c r="J100" s="6">
        <f>IF(AND(ISNUMBER('评分录入'!AB59),'评分录入'!AB59=0.5),1,0)</f>
        <v>0</v>
      </c>
      <c r="K100" s="6">
        <f>IF(AND(ISNUMBER('评分录入'!AB59),'评分录入'!AB59=0),1,0)</f>
        <v>0</v>
      </c>
      <c r="L100" s="6">
        <f>G100-H100</f>
        <v>0</v>
      </c>
      <c r="M100" s="7">
        <f>IF(H100=0,"",(I100+J100*0.5)/H100)</f>
        <v/>
      </c>
    </row>
    <row r="101" spans="1:13" ht="28" customHeight="1">
      <c r="A101" s="4" t="s">
        <v>72</v>
      </c>
      <c r="B101" s="4" t="s">
        <v>77</v>
      </c>
      <c r="C101" s="4" t="s">
        <v>94</v>
      </c>
      <c r="D101" s="4" t="s">
        <v>75</v>
      </c>
      <c r="E101" s="4" t="s">
        <v>121</v>
      </c>
      <c r="F101" s="4">
        <v>1</v>
      </c>
      <c r="G101" s="6">
        <f>IF('评分录入'!M59="纳入",1,0)</f>
        <v>0</v>
      </c>
      <c r="H101" s="6">
        <f>IF(ISNUMBER('评分录入'!AC59),1,0)</f>
        <v>0</v>
      </c>
      <c r="I101" s="6">
        <f>IF(AND(ISNUMBER('评分录入'!AC59),'评分录入'!AC59=1),1,0)</f>
        <v>0</v>
      </c>
      <c r="J101" s="6">
        <f>IF(AND(ISNUMBER('评分录入'!AC59),'评分录入'!AC59=0.5),1,0)</f>
        <v>0</v>
      </c>
      <c r="K101" s="6">
        <f>IF(AND(ISNUMBER('评分录入'!AC59),'评分录入'!AC59=0),1,0)</f>
        <v>0</v>
      </c>
      <c r="L101" s="6">
        <f>G101-H101</f>
        <v>0</v>
      </c>
      <c r="M101" s="7">
        <f>IF(H101=0,"",(I101+J101*0.5)/H101)</f>
        <v/>
      </c>
    </row>
    <row r="102" spans="1:13" ht="28" customHeight="1">
      <c r="A102" s="4" t="s">
        <v>72</v>
      </c>
      <c r="B102" s="4" t="s">
        <v>77</v>
      </c>
      <c r="C102" s="4" t="s">
        <v>94</v>
      </c>
      <c r="D102" s="4" t="s">
        <v>75</v>
      </c>
      <c r="E102" s="4" t="s">
        <v>122</v>
      </c>
      <c r="F102" s="4">
        <v>1</v>
      </c>
      <c r="G102" s="6">
        <f>IF('评分录入'!M59="纳入",1,0)</f>
        <v>0</v>
      </c>
      <c r="H102" s="6">
        <f>IF(ISNUMBER('评分录入'!AD59),1,0)</f>
        <v>0</v>
      </c>
      <c r="I102" s="6">
        <f>IF(AND(ISNUMBER('评分录入'!AD59),'评分录入'!AD59=1),1,0)</f>
        <v>0</v>
      </c>
      <c r="J102" s="6">
        <f>IF(AND(ISNUMBER('评分录入'!AD59),'评分录入'!AD59=0.5),1,0)</f>
        <v>0</v>
      </c>
      <c r="K102" s="6">
        <f>IF(AND(ISNUMBER('评分录入'!AD59),'评分录入'!AD59=0),1,0)</f>
        <v>0</v>
      </c>
      <c r="L102" s="6">
        <f>G102-H102</f>
        <v>0</v>
      </c>
      <c r="M102" s="7">
        <f>IF(H102=0,"",(I102+J102*0.5)/H102)</f>
        <v/>
      </c>
    </row>
    <row r="103" spans="1:13" ht="28" customHeight="1">
      <c r="A103" s="4" t="s">
        <v>72</v>
      </c>
      <c r="B103" s="4" t="s">
        <v>77</v>
      </c>
      <c r="C103" s="4" t="s">
        <v>74</v>
      </c>
      <c r="D103" s="4" t="s">
        <v>75</v>
      </c>
      <c r="E103" s="4" t="s">
        <v>117</v>
      </c>
      <c r="F103" s="4">
        <v>1</v>
      </c>
      <c r="G103" s="6">
        <f>IF('评分录入'!M70="纳入",1,0)</f>
        <v>0</v>
      </c>
      <c r="H103" s="6">
        <f>IF(ISNUMBER('评分录入'!T70),1,0)</f>
        <v>0</v>
      </c>
      <c r="I103" s="6">
        <f>IF(AND(ISNUMBER('评分录入'!T70),'评分录入'!T70=1),1,0)</f>
        <v>0</v>
      </c>
      <c r="J103" s="6">
        <f>IF(AND(ISNUMBER('评分录入'!T70),'评分录入'!T70=0.5),1,0)</f>
        <v>0</v>
      </c>
      <c r="K103" s="6">
        <f>IF(AND(ISNUMBER('评分录入'!T70),'评分录入'!T70=0),1,0)</f>
        <v>0</v>
      </c>
      <c r="L103" s="6">
        <f>G103-H103</f>
        <v>0</v>
      </c>
      <c r="M103" s="7">
        <f>IF(H103=0,"",(I103+J103*0.5)/H103)</f>
        <v/>
      </c>
    </row>
    <row r="104" spans="1:13" ht="28" customHeight="1">
      <c r="A104" s="4" t="s">
        <v>72</v>
      </c>
      <c r="B104" s="4" t="s">
        <v>77</v>
      </c>
      <c r="C104" s="4" t="s">
        <v>74</v>
      </c>
      <c r="D104" s="4" t="s">
        <v>75</v>
      </c>
      <c r="E104" s="4" t="s">
        <v>118</v>
      </c>
      <c r="F104" s="4">
        <v>1</v>
      </c>
      <c r="G104" s="6">
        <f>IF('评分录入'!M70="纳入",1,0)</f>
        <v>0</v>
      </c>
      <c r="H104" s="6">
        <f>IF(ISNUMBER('评分录入'!Z70),1,0)</f>
        <v>0</v>
      </c>
      <c r="I104" s="6">
        <f>IF(AND(ISNUMBER('评分录入'!Z70),'评分录入'!Z70=1),1,0)</f>
        <v>0</v>
      </c>
      <c r="J104" s="6">
        <f>IF(AND(ISNUMBER('评分录入'!Z70),'评分录入'!Z70=0.5),1,0)</f>
        <v>0</v>
      </c>
      <c r="K104" s="6">
        <f>IF(AND(ISNUMBER('评分录入'!Z70),'评分录入'!Z70=0),1,0)</f>
        <v>0</v>
      </c>
      <c r="L104" s="6">
        <f>G104-H104</f>
        <v>0</v>
      </c>
      <c r="M104" s="7">
        <f>IF(H104=0,"",(I104+J104*0.5)/H104)</f>
        <v/>
      </c>
    </row>
    <row r="105" spans="1:13" ht="28" customHeight="1">
      <c r="A105" s="4" t="s">
        <v>72</v>
      </c>
      <c r="B105" s="4" t="s">
        <v>77</v>
      </c>
      <c r="C105" s="4" t="s">
        <v>74</v>
      </c>
      <c r="D105" s="4" t="s">
        <v>75</v>
      </c>
      <c r="E105" s="4" t="s">
        <v>119</v>
      </c>
      <c r="F105" s="4">
        <v>1</v>
      </c>
      <c r="G105" s="6">
        <f>IF('评分录入'!M70="纳入",1,0)</f>
        <v>0</v>
      </c>
      <c r="H105" s="6">
        <f>IF(ISNUMBER('评分录入'!AA70),1,0)</f>
        <v>0</v>
      </c>
      <c r="I105" s="6">
        <f>IF(AND(ISNUMBER('评分录入'!AA70),'评分录入'!AA70=1),1,0)</f>
        <v>0</v>
      </c>
      <c r="J105" s="6">
        <f>IF(AND(ISNUMBER('评分录入'!AA70),'评分录入'!AA70=0.5),1,0)</f>
        <v>0</v>
      </c>
      <c r="K105" s="6">
        <f>IF(AND(ISNUMBER('评分录入'!AA70),'评分录入'!AA70=0),1,0)</f>
        <v>0</v>
      </c>
      <c r="L105" s="6">
        <f>G105-H105</f>
        <v>0</v>
      </c>
      <c r="M105" s="7">
        <f>IF(H105=0,"",(I105+J105*0.5)/H105)</f>
        <v/>
      </c>
    </row>
    <row r="106" spans="1:13" ht="28" customHeight="1">
      <c r="A106" s="4" t="s">
        <v>72</v>
      </c>
      <c r="B106" s="4" t="s">
        <v>77</v>
      </c>
      <c r="C106" s="4" t="s">
        <v>74</v>
      </c>
      <c r="D106" s="4" t="s">
        <v>75</v>
      </c>
      <c r="E106" s="4" t="s">
        <v>120</v>
      </c>
      <c r="F106" s="4">
        <v>1</v>
      </c>
      <c r="G106" s="6">
        <f>IF('评分录入'!M70="纳入",1,0)</f>
        <v>0</v>
      </c>
      <c r="H106" s="6">
        <f>IF(ISNUMBER('评分录入'!AB70),1,0)</f>
        <v>0</v>
      </c>
      <c r="I106" s="6">
        <f>IF(AND(ISNUMBER('评分录入'!AB70),'评分录入'!AB70=1),1,0)</f>
        <v>0</v>
      </c>
      <c r="J106" s="6">
        <f>IF(AND(ISNUMBER('评分录入'!AB70),'评分录入'!AB70=0.5),1,0)</f>
        <v>0</v>
      </c>
      <c r="K106" s="6">
        <f>IF(AND(ISNUMBER('评分录入'!AB70),'评分录入'!AB70=0),1,0)</f>
        <v>0</v>
      </c>
      <c r="L106" s="6">
        <f>G106-H106</f>
        <v>0</v>
      </c>
      <c r="M106" s="7">
        <f>IF(H106=0,"",(I106+J106*0.5)/H106)</f>
        <v/>
      </c>
    </row>
    <row r="107" spans="1:13" ht="28" customHeight="1">
      <c r="A107" s="4" t="s">
        <v>72</v>
      </c>
      <c r="B107" s="4" t="s">
        <v>77</v>
      </c>
      <c r="C107" s="4" t="s">
        <v>74</v>
      </c>
      <c r="D107" s="4" t="s">
        <v>75</v>
      </c>
      <c r="E107" s="4" t="s">
        <v>121</v>
      </c>
      <c r="F107" s="4">
        <v>1</v>
      </c>
      <c r="G107" s="6">
        <f>IF('评分录入'!M70="纳入",1,0)</f>
        <v>0</v>
      </c>
      <c r="H107" s="6">
        <f>IF(ISNUMBER('评分录入'!AC70),1,0)</f>
        <v>0</v>
      </c>
      <c r="I107" s="6">
        <f>IF(AND(ISNUMBER('评分录入'!AC70),'评分录入'!AC70=1),1,0)</f>
        <v>0</v>
      </c>
      <c r="J107" s="6">
        <f>IF(AND(ISNUMBER('评分录入'!AC70),'评分录入'!AC70=0.5),1,0)</f>
        <v>0</v>
      </c>
      <c r="K107" s="6">
        <f>IF(AND(ISNUMBER('评分录入'!AC70),'评分录入'!AC70=0),1,0)</f>
        <v>0</v>
      </c>
      <c r="L107" s="6">
        <f>G107-H107</f>
        <v>0</v>
      </c>
      <c r="M107" s="7">
        <f>IF(H107=0,"",(I107+J107*0.5)/H107)</f>
        <v/>
      </c>
    </row>
    <row r="108" spans="1:13" ht="28" customHeight="1">
      <c r="A108" s="4" t="s">
        <v>72</v>
      </c>
      <c r="B108" s="4" t="s">
        <v>77</v>
      </c>
      <c r="C108" s="4" t="s">
        <v>74</v>
      </c>
      <c r="D108" s="4" t="s">
        <v>75</v>
      </c>
      <c r="E108" s="4" t="s">
        <v>122</v>
      </c>
      <c r="F108" s="4">
        <v>1</v>
      </c>
      <c r="G108" s="6">
        <f>IF('评分录入'!M70="纳入",1,0)</f>
        <v>0</v>
      </c>
      <c r="H108" s="6">
        <f>IF(ISNUMBER('评分录入'!AD70),1,0)</f>
        <v>0</v>
      </c>
      <c r="I108" s="6">
        <f>IF(AND(ISNUMBER('评分录入'!AD70),'评分录入'!AD70=1),1,0)</f>
        <v>0</v>
      </c>
      <c r="J108" s="6">
        <f>IF(AND(ISNUMBER('评分录入'!AD70),'评分录入'!AD70=0.5),1,0)</f>
        <v>0</v>
      </c>
      <c r="K108" s="6">
        <f>IF(AND(ISNUMBER('评分录入'!AD70),'评分录入'!AD70=0),1,0)</f>
        <v>0</v>
      </c>
      <c r="L108" s="6">
        <f>G108-H108</f>
        <v>0</v>
      </c>
      <c r="M108" s="7">
        <f>IF(H108=0,"",(I108+J108*0.5)/H108)</f>
        <v/>
      </c>
    </row>
    <row r="109" spans="1:13" ht="28" customHeight="1">
      <c r="A109" s="4" t="s">
        <v>72</v>
      </c>
      <c r="B109" s="4" t="s">
        <v>77</v>
      </c>
      <c r="C109" s="4" t="s">
        <v>78</v>
      </c>
      <c r="D109" s="4" t="s">
        <v>94</v>
      </c>
      <c r="E109" s="4" t="s">
        <v>117</v>
      </c>
      <c r="F109" s="4">
        <v>2</v>
      </c>
      <c r="G109" s="6">
        <f>IF('评分录入'!M23="纳入",1,0)+IF('评分录入'!M65="纳入",1,0)</f>
        <v>0</v>
      </c>
      <c r="H109" s="6">
        <f>IF(ISNUMBER('评分录入'!T23),1,0)+IF(ISNUMBER('评分录入'!T65),1,0)</f>
        <v>0</v>
      </c>
      <c r="I109" s="6">
        <f>IF(AND(ISNUMBER('评分录入'!T23),'评分录入'!T23=1),1,0)+IF(AND(ISNUMBER('评分录入'!T65),'评分录入'!T65=1),1,0)</f>
        <v>0</v>
      </c>
      <c r="J109" s="6">
        <f>IF(AND(ISNUMBER('评分录入'!T23),'评分录入'!T23=0.5),1,0)+IF(AND(ISNUMBER('评分录入'!T65),'评分录入'!T65=0.5),1,0)</f>
        <v>0</v>
      </c>
      <c r="K109" s="6">
        <f>IF(AND(ISNUMBER('评分录入'!T23),'评分录入'!T23=0),1,0)+IF(AND(ISNUMBER('评分录入'!T65),'评分录入'!T65=0),1,0)</f>
        <v>0</v>
      </c>
      <c r="L109" s="6">
        <f>G109-H109</f>
        <v>0</v>
      </c>
      <c r="M109" s="7">
        <f>IF(H109=0,"",(I109+J109*0.5)/H109)</f>
        <v/>
      </c>
    </row>
    <row r="110" spans="1:13" ht="28" customHeight="1">
      <c r="A110" s="4" t="s">
        <v>72</v>
      </c>
      <c r="B110" s="4" t="s">
        <v>77</v>
      </c>
      <c r="C110" s="4" t="s">
        <v>78</v>
      </c>
      <c r="D110" s="4" t="s">
        <v>94</v>
      </c>
      <c r="E110" s="4" t="s">
        <v>118</v>
      </c>
      <c r="F110" s="4">
        <v>2</v>
      </c>
      <c r="G110" s="6">
        <f>IF('评分录入'!M23="纳入",1,0)+IF('评分录入'!M65="纳入",1,0)</f>
        <v>0</v>
      </c>
      <c r="H110" s="6">
        <f>IF(ISNUMBER('评分录入'!Z23),1,0)+IF(ISNUMBER('评分录入'!Z65),1,0)</f>
        <v>0</v>
      </c>
      <c r="I110" s="6">
        <f>IF(AND(ISNUMBER('评分录入'!Z23),'评分录入'!Z23=1),1,0)+IF(AND(ISNUMBER('评分录入'!Z65),'评分录入'!Z65=1),1,0)</f>
        <v>0</v>
      </c>
      <c r="J110" s="6">
        <f>IF(AND(ISNUMBER('评分录入'!Z23),'评分录入'!Z23=0.5),1,0)+IF(AND(ISNUMBER('评分录入'!Z65),'评分录入'!Z65=0.5),1,0)</f>
        <v>0</v>
      </c>
      <c r="K110" s="6">
        <f>IF(AND(ISNUMBER('评分录入'!Z23),'评分录入'!Z23=0),1,0)+IF(AND(ISNUMBER('评分录入'!Z65),'评分录入'!Z65=0),1,0)</f>
        <v>0</v>
      </c>
      <c r="L110" s="6">
        <f>G110-H110</f>
        <v>0</v>
      </c>
      <c r="M110" s="7">
        <f>IF(H110=0,"",(I110+J110*0.5)/H110)</f>
        <v/>
      </c>
    </row>
    <row r="111" spans="1:13" ht="28" customHeight="1">
      <c r="A111" s="4" t="s">
        <v>72</v>
      </c>
      <c r="B111" s="4" t="s">
        <v>77</v>
      </c>
      <c r="C111" s="4" t="s">
        <v>78</v>
      </c>
      <c r="D111" s="4" t="s">
        <v>94</v>
      </c>
      <c r="E111" s="4" t="s">
        <v>119</v>
      </c>
      <c r="F111" s="4">
        <v>2</v>
      </c>
      <c r="G111" s="6">
        <f>IF('评分录入'!M23="纳入",1,0)+IF('评分录入'!M65="纳入",1,0)</f>
        <v>0</v>
      </c>
      <c r="H111" s="6">
        <f>IF(ISNUMBER('评分录入'!AA23),1,0)+IF(ISNUMBER('评分录入'!AA65),1,0)</f>
        <v>0</v>
      </c>
      <c r="I111" s="6">
        <f>IF(AND(ISNUMBER('评分录入'!AA23),'评分录入'!AA23=1),1,0)+IF(AND(ISNUMBER('评分录入'!AA65),'评分录入'!AA65=1),1,0)</f>
        <v>0</v>
      </c>
      <c r="J111" s="6">
        <f>IF(AND(ISNUMBER('评分录入'!AA23),'评分录入'!AA23=0.5),1,0)+IF(AND(ISNUMBER('评分录入'!AA65),'评分录入'!AA65=0.5),1,0)</f>
        <v>0</v>
      </c>
      <c r="K111" s="6">
        <f>IF(AND(ISNUMBER('评分录入'!AA23),'评分录入'!AA23=0),1,0)+IF(AND(ISNUMBER('评分录入'!AA65),'评分录入'!AA65=0),1,0)</f>
        <v>0</v>
      </c>
      <c r="L111" s="6">
        <f>G111-H111</f>
        <v>0</v>
      </c>
      <c r="M111" s="7">
        <f>IF(H111=0,"",(I111+J111*0.5)/H111)</f>
        <v/>
      </c>
    </row>
    <row r="112" spans="1:13" ht="28" customHeight="1">
      <c r="A112" s="4" t="s">
        <v>72</v>
      </c>
      <c r="B112" s="4" t="s">
        <v>77</v>
      </c>
      <c r="C112" s="4" t="s">
        <v>78</v>
      </c>
      <c r="D112" s="4" t="s">
        <v>94</v>
      </c>
      <c r="E112" s="4" t="s">
        <v>120</v>
      </c>
      <c r="F112" s="4">
        <v>2</v>
      </c>
      <c r="G112" s="6">
        <f>IF('评分录入'!M23="纳入",1,0)+IF('评分录入'!M65="纳入",1,0)</f>
        <v>0</v>
      </c>
      <c r="H112" s="6">
        <f>IF(ISNUMBER('评分录入'!AB23),1,0)+IF(ISNUMBER('评分录入'!AB65),1,0)</f>
        <v>0</v>
      </c>
      <c r="I112" s="6">
        <f>IF(AND(ISNUMBER('评分录入'!AB23),'评分录入'!AB23=1),1,0)+IF(AND(ISNUMBER('评分录入'!AB65),'评分录入'!AB65=1),1,0)</f>
        <v>0</v>
      </c>
      <c r="J112" s="6">
        <f>IF(AND(ISNUMBER('评分录入'!AB23),'评分录入'!AB23=0.5),1,0)+IF(AND(ISNUMBER('评分录入'!AB65),'评分录入'!AB65=0.5),1,0)</f>
        <v>0</v>
      </c>
      <c r="K112" s="6">
        <f>IF(AND(ISNUMBER('评分录入'!AB23),'评分录入'!AB23=0),1,0)+IF(AND(ISNUMBER('评分录入'!AB65),'评分录入'!AB65=0),1,0)</f>
        <v>0</v>
      </c>
      <c r="L112" s="6">
        <f>G112-H112</f>
        <v>0</v>
      </c>
      <c r="M112" s="7">
        <f>IF(H112=0,"",(I112+J112*0.5)/H112)</f>
        <v/>
      </c>
    </row>
    <row r="113" spans="1:13" ht="28" customHeight="1">
      <c r="A113" s="4" t="s">
        <v>72</v>
      </c>
      <c r="B113" s="4" t="s">
        <v>77</v>
      </c>
      <c r="C113" s="4" t="s">
        <v>78</v>
      </c>
      <c r="D113" s="4" t="s">
        <v>94</v>
      </c>
      <c r="E113" s="4" t="s">
        <v>121</v>
      </c>
      <c r="F113" s="4">
        <v>2</v>
      </c>
      <c r="G113" s="6">
        <f>IF('评分录入'!M23="纳入",1,0)+IF('评分录入'!M65="纳入",1,0)</f>
        <v>0</v>
      </c>
      <c r="H113" s="6">
        <f>IF(ISNUMBER('评分录入'!AC23),1,0)+IF(ISNUMBER('评分录入'!AC65),1,0)</f>
        <v>0</v>
      </c>
      <c r="I113" s="6">
        <f>IF(AND(ISNUMBER('评分录入'!AC23),'评分录入'!AC23=1),1,0)+IF(AND(ISNUMBER('评分录入'!AC65),'评分录入'!AC65=1),1,0)</f>
        <v>0</v>
      </c>
      <c r="J113" s="6">
        <f>IF(AND(ISNUMBER('评分录入'!AC23),'评分录入'!AC23=0.5),1,0)+IF(AND(ISNUMBER('评分录入'!AC65),'评分录入'!AC65=0.5),1,0)</f>
        <v>0</v>
      </c>
      <c r="K113" s="6">
        <f>IF(AND(ISNUMBER('评分录入'!AC23),'评分录入'!AC23=0),1,0)+IF(AND(ISNUMBER('评分录入'!AC65),'评分录入'!AC65=0),1,0)</f>
        <v>0</v>
      </c>
      <c r="L113" s="6">
        <f>G113-H113</f>
        <v>0</v>
      </c>
      <c r="M113" s="7">
        <f>IF(H113=0,"",(I113+J113*0.5)/H113)</f>
        <v/>
      </c>
    </row>
    <row r="114" spans="1:13" ht="28" customHeight="1">
      <c r="A114" s="4" t="s">
        <v>72</v>
      </c>
      <c r="B114" s="4" t="s">
        <v>77</v>
      </c>
      <c r="C114" s="4" t="s">
        <v>78</v>
      </c>
      <c r="D114" s="4" t="s">
        <v>94</v>
      </c>
      <c r="E114" s="4" t="s">
        <v>122</v>
      </c>
      <c r="F114" s="4">
        <v>2</v>
      </c>
      <c r="G114" s="6">
        <f>IF('评分录入'!M23="纳入",1,0)+IF('评分录入'!M65="纳入",1,0)</f>
        <v>0</v>
      </c>
      <c r="H114" s="6">
        <f>IF(ISNUMBER('评分录入'!AD23),1,0)+IF(ISNUMBER('评分录入'!AD65),1,0)</f>
        <v>0</v>
      </c>
      <c r="I114" s="6">
        <f>IF(AND(ISNUMBER('评分录入'!AD23),'评分录入'!AD23=1),1,0)+IF(AND(ISNUMBER('评分录入'!AD65),'评分录入'!AD65=1),1,0)</f>
        <v>0</v>
      </c>
      <c r="J114" s="6">
        <f>IF(AND(ISNUMBER('评分录入'!AD23),'评分录入'!AD23=0.5),1,0)+IF(AND(ISNUMBER('评分录入'!AD65),'评分录入'!AD65=0.5),1,0)</f>
        <v>0</v>
      </c>
      <c r="K114" s="6">
        <f>IF(AND(ISNUMBER('评分录入'!AD23),'评分录入'!AD23=0),1,0)+IF(AND(ISNUMBER('评分录入'!AD65),'评分录入'!AD65=0),1,0)</f>
        <v>0</v>
      </c>
      <c r="L114" s="6">
        <f>G114-H114</f>
        <v>0</v>
      </c>
      <c r="M114" s="7">
        <f>IF(H114=0,"",(I114+J114*0.5)/H114)</f>
        <v/>
      </c>
    </row>
    <row r="115" spans="1:13" ht="28" customHeight="1">
      <c r="A115" s="4" t="s">
        <v>72</v>
      </c>
      <c r="B115" s="4" t="s">
        <v>77</v>
      </c>
      <c r="C115" s="4" t="s">
        <v>74</v>
      </c>
      <c r="D115" s="4" t="s">
        <v>87</v>
      </c>
      <c r="E115" s="4" t="s">
        <v>117</v>
      </c>
      <c r="F115" s="4">
        <v>1</v>
      </c>
      <c r="G115" s="6">
        <f>IF('评分录入'!M20="纳入",1,0)</f>
        <v>0</v>
      </c>
      <c r="H115" s="6">
        <f>IF(ISNUMBER('评分录入'!T20),1,0)</f>
        <v>0</v>
      </c>
      <c r="I115" s="6">
        <f>IF(AND(ISNUMBER('评分录入'!T20),'评分录入'!T20=1),1,0)</f>
        <v>0</v>
      </c>
      <c r="J115" s="6">
        <f>IF(AND(ISNUMBER('评分录入'!T20),'评分录入'!T20=0.5),1,0)</f>
        <v>0</v>
      </c>
      <c r="K115" s="6">
        <f>IF(AND(ISNUMBER('评分录入'!T20),'评分录入'!T20=0),1,0)</f>
        <v>0</v>
      </c>
      <c r="L115" s="6">
        <f>G115-H115</f>
        <v>0</v>
      </c>
      <c r="M115" s="7">
        <f>IF(H115=0,"",(I115+J115*0.5)/H115)</f>
        <v/>
      </c>
    </row>
    <row r="116" spans="1:13" ht="28" customHeight="1">
      <c r="A116" s="4" t="s">
        <v>72</v>
      </c>
      <c r="B116" s="4" t="s">
        <v>77</v>
      </c>
      <c r="C116" s="4" t="s">
        <v>74</v>
      </c>
      <c r="D116" s="4" t="s">
        <v>87</v>
      </c>
      <c r="E116" s="4" t="s">
        <v>118</v>
      </c>
      <c r="F116" s="4">
        <v>1</v>
      </c>
      <c r="G116" s="6">
        <f>IF('评分录入'!M20="纳入",1,0)</f>
        <v>0</v>
      </c>
      <c r="H116" s="6">
        <f>IF(ISNUMBER('评分录入'!Z20),1,0)</f>
        <v>0</v>
      </c>
      <c r="I116" s="6">
        <f>IF(AND(ISNUMBER('评分录入'!Z20),'评分录入'!Z20=1),1,0)</f>
        <v>0</v>
      </c>
      <c r="J116" s="6">
        <f>IF(AND(ISNUMBER('评分录入'!Z20),'评分录入'!Z20=0.5),1,0)</f>
        <v>0</v>
      </c>
      <c r="K116" s="6">
        <f>IF(AND(ISNUMBER('评分录入'!Z20),'评分录入'!Z20=0),1,0)</f>
        <v>0</v>
      </c>
      <c r="L116" s="6">
        <f>G116-H116</f>
        <v>0</v>
      </c>
      <c r="M116" s="7">
        <f>IF(H116=0,"",(I116+J116*0.5)/H116)</f>
        <v/>
      </c>
    </row>
    <row r="117" spans="1:13" ht="28" customHeight="1">
      <c r="A117" s="4" t="s">
        <v>72</v>
      </c>
      <c r="B117" s="4" t="s">
        <v>77</v>
      </c>
      <c r="C117" s="4" t="s">
        <v>74</v>
      </c>
      <c r="D117" s="4" t="s">
        <v>87</v>
      </c>
      <c r="E117" s="4" t="s">
        <v>119</v>
      </c>
      <c r="F117" s="4">
        <v>1</v>
      </c>
      <c r="G117" s="6">
        <f>IF('评分录入'!M20="纳入",1,0)</f>
        <v>0</v>
      </c>
      <c r="H117" s="6">
        <f>IF(ISNUMBER('评分录入'!AA20),1,0)</f>
        <v>0</v>
      </c>
      <c r="I117" s="6">
        <f>IF(AND(ISNUMBER('评分录入'!AA20),'评分录入'!AA20=1),1,0)</f>
        <v>0</v>
      </c>
      <c r="J117" s="6">
        <f>IF(AND(ISNUMBER('评分录入'!AA20),'评分录入'!AA20=0.5),1,0)</f>
        <v>0</v>
      </c>
      <c r="K117" s="6">
        <f>IF(AND(ISNUMBER('评分录入'!AA20),'评分录入'!AA20=0),1,0)</f>
        <v>0</v>
      </c>
      <c r="L117" s="6">
        <f>G117-H117</f>
        <v>0</v>
      </c>
      <c r="M117" s="7">
        <f>IF(H117=0,"",(I117+J117*0.5)/H117)</f>
        <v/>
      </c>
    </row>
    <row r="118" spans="1:13" ht="28" customHeight="1">
      <c r="A118" s="4" t="s">
        <v>72</v>
      </c>
      <c r="B118" s="4" t="s">
        <v>77</v>
      </c>
      <c r="C118" s="4" t="s">
        <v>74</v>
      </c>
      <c r="D118" s="4" t="s">
        <v>87</v>
      </c>
      <c r="E118" s="4" t="s">
        <v>120</v>
      </c>
      <c r="F118" s="4">
        <v>1</v>
      </c>
      <c r="G118" s="6">
        <f>IF('评分录入'!M20="纳入",1,0)</f>
        <v>0</v>
      </c>
      <c r="H118" s="6">
        <f>IF(ISNUMBER('评分录入'!AB20),1,0)</f>
        <v>0</v>
      </c>
      <c r="I118" s="6">
        <f>IF(AND(ISNUMBER('评分录入'!AB20),'评分录入'!AB20=1),1,0)</f>
        <v>0</v>
      </c>
      <c r="J118" s="6">
        <f>IF(AND(ISNUMBER('评分录入'!AB20),'评分录入'!AB20=0.5),1,0)</f>
        <v>0</v>
      </c>
      <c r="K118" s="6">
        <f>IF(AND(ISNUMBER('评分录入'!AB20),'评分录入'!AB20=0),1,0)</f>
        <v>0</v>
      </c>
      <c r="L118" s="6">
        <f>G118-H118</f>
        <v>0</v>
      </c>
      <c r="M118" s="7">
        <f>IF(H118=0,"",(I118+J118*0.5)/H118)</f>
        <v/>
      </c>
    </row>
    <row r="119" spans="1:13" ht="28" customHeight="1">
      <c r="A119" s="4" t="s">
        <v>72</v>
      </c>
      <c r="B119" s="4" t="s">
        <v>77</v>
      </c>
      <c r="C119" s="4" t="s">
        <v>74</v>
      </c>
      <c r="D119" s="4" t="s">
        <v>87</v>
      </c>
      <c r="E119" s="4" t="s">
        <v>121</v>
      </c>
      <c r="F119" s="4">
        <v>1</v>
      </c>
      <c r="G119" s="6">
        <f>IF('评分录入'!M20="纳入",1,0)</f>
        <v>0</v>
      </c>
      <c r="H119" s="6">
        <f>IF(ISNUMBER('评分录入'!AC20),1,0)</f>
        <v>0</v>
      </c>
      <c r="I119" s="6">
        <f>IF(AND(ISNUMBER('评分录入'!AC20),'评分录入'!AC20=1),1,0)</f>
        <v>0</v>
      </c>
      <c r="J119" s="6">
        <f>IF(AND(ISNUMBER('评分录入'!AC20),'评分录入'!AC20=0.5),1,0)</f>
        <v>0</v>
      </c>
      <c r="K119" s="6">
        <f>IF(AND(ISNUMBER('评分录入'!AC20),'评分录入'!AC20=0),1,0)</f>
        <v>0</v>
      </c>
      <c r="L119" s="6">
        <f>G119-H119</f>
        <v>0</v>
      </c>
      <c r="M119" s="7">
        <f>IF(H119=0,"",(I119+J119*0.5)/H119)</f>
        <v/>
      </c>
    </row>
    <row r="120" spans="1:13" ht="28" customHeight="1">
      <c r="A120" s="4" t="s">
        <v>72</v>
      </c>
      <c r="B120" s="4" t="s">
        <v>77</v>
      </c>
      <c r="C120" s="4" t="s">
        <v>74</v>
      </c>
      <c r="D120" s="4" t="s">
        <v>87</v>
      </c>
      <c r="E120" s="4" t="s">
        <v>122</v>
      </c>
      <c r="F120" s="4">
        <v>1</v>
      </c>
      <c r="G120" s="6">
        <f>IF('评分录入'!M20="纳入",1,0)</f>
        <v>0</v>
      </c>
      <c r="H120" s="6">
        <f>IF(ISNUMBER('评分录入'!AD20),1,0)</f>
        <v>0</v>
      </c>
      <c r="I120" s="6">
        <f>IF(AND(ISNUMBER('评分录入'!AD20),'评分录入'!AD20=1),1,0)</f>
        <v>0</v>
      </c>
      <c r="J120" s="6">
        <f>IF(AND(ISNUMBER('评分录入'!AD20),'评分录入'!AD20=0.5),1,0)</f>
        <v>0</v>
      </c>
      <c r="K120" s="6">
        <f>IF(AND(ISNUMBER('评分录入'!AD20),'评分录入'!AD20=0),1,0)</f>
        <v>0</v>
      </c>
      <c r="L120" s="6">
        <f>G120-H120</f>
        <v>0</v>
      </c>
      <c r="M120" s="7">
        <f>IF(H120=0,"",(I120+J120*0.5)/H120)</f>
        <v/>
      </c>
    </row>
    <row r="121" spans="1:13" ht="28" customHeight="1">
      <c r="A121" s="4" t="s">
        <v>72</v>
      </c>
      <c r="B121" s="4" t="s">
        <v>77</v>
      </c>
      <c r="C121" s="4" t="s">
        <v>79</v>
      </c>
      <c r="D121" s="4" t="s">
        <v>78</v>
      </c>
      <c r="E121" s="4" t="s">
        <v>117</v>
      </c>
      <c r="F121" s="4">
        <v>1</v>
      </c>
      <c r="G121" s="6">
        <f>IF('评分录入'!M8="纳入",1,0)</f>
        <v>0</v>
      </c>
      <c r="H121" s="6">
        <f>IF(ISNUMBER('评分录入'!T8),1,0)</f>
        <v>0</v>
      </c>
      <c r="I121" s="6">
        <f>IF(AND(ISNUMBER('评分录入'!T8),'评分录入'!T8=1),1,0)</f>
        <v>0</v>
      </c>
      <c r="J121" s="6">
        <f>IF(AND(ISNUMBER('评分录入'!T8),'评分录入'!T8=0.5),1,0)</f>
        <v>0</v>
      </c>
      <c r="K121" s="6">
        <f>IF(AND(ISNUMBER('评分录入'!T8),'评分录入'!T8=0),1,0)</f>
        <v>0</v>
      </c>
      <c r="L121" s="6">
        <f>G121-H121</f>
        <v>0</v>
      </c>
      <c r="M121" s="7">
        <f>IF(H121=0,"",(I121+J121*0.5)/H121)</f>
        <v/>
      </c>
    </row>
    <row r="122" spans="1:13" ht="28" customHeight="1">
      <c r="A122" s="4" t="s">
        <v>72</v>
      </c>
      <c r="B122" s="4" t="s">
        <v>77</v>
      </c>
      <c r="C122" s="4" t="s">
        <v>79</v>
      </c>
      <c r="D122" s="4" t="s">
        <v>78</v>
      </c>
      <c r="E122" s="4" t="s">
        <v>118</v>
      </c>
      <c r="F122" s="4">
        <v>1</v>
      </c>
      <c r="G122" s="6">
        <f>IF('评分录入'!M8="纳入",1,0)</f>
        <v>0</v>
      </c>
      <c r="H122" s="6">
        <f>IF(ISNUMBER('评分录入'!Z8),1,0)</f>
        <v>0</v>
      </c>
      <c r="I122" s="6">
        <f>IF(AND(ISNUMBER('评分录入'!Z8),'评分录入'!Z8=1),1,0)</f>
        <v>0</v>
      </c>
      <c r="J122" s="6">
        <f>IF(AND(ISNUMBER('评分录入'!Z8),'评分录入'!Z8=0.5),1,0)</f>
        <v>0</v>
      </c>
      <c r="K122" s="6">
        <f>IF(AND(ISNUMBER('评分录入'!Z8),'评分录入'!Z8=0),1,0)</f>
        <v>0</v>
      </c>
      <c r="L122" s="6">
        <f>G122-H122</f>
        <v>0</v>
      </c>
      <c r="M122" s="7">
        <f>IF(H122=0,"",(I122+J122*0.5)/H122)</f>
        <v/>
      </c>
    </row>
    <row r="123" spans="1:13" ht="28" customHeight="1">
      <c r="A123" s="4" t="s">
        <v>72</v>
      </c>
      <c r="B123" s="4" t="s">
        <v>77</v>
      </c>
      <c r="C123" s="4" t="s">
        <v>79</v>
      </c>
      <c r="D123" s="4" t="s">
        <v>78</v>
      </c>
      <c r="E123" s="4" t="s">
        <v>119</v>
      </c>
      <c r="F123" s="4">
        <v>1</v>
      </c>
      <c r="G123" s="6">
        <f>IF('评分录入'!M8="纳入",1,0)</f>
        <v>0</v>
      </c>
      <c r="H123" s="6">
        <f>IF(ISNUMBER('评分录入'!AA8),1,0)</f>
        <v>0</v>
      </c>
      <c r="I123" s="6">
        <f>IF(AND(ISNUMBER('评分录入'!AA8),'评分录入'!AA8=1),1,0)</f>
        <v>0</v>
      </c>
      <c r="J123" s="6">
        <f>IF(AND(ISNUMBER('评分录入'!AA8),'评分录入'!AA8=0.5),1,0)</f>
        <v>0</v>
      </c>
      <c r="K123" s="6">
        <f>IF(AND(ISNUMBER('评分录入'!AA8),'评分录入'!AA8=0),1,0)</f>
        <v>0</v>
      </c>
      <c r="L123" s="6">
        <f>G123-H123</f>
        <v>0</v>
      </c>
      <c r="M123" s="7">
        <f>IF(H123=0,"",(I123+J123*0.5)/H123)</f>
        <v/>
      </c>
    </row>
    <row r="124" spans="1:13" ht="28" customHeight="1">
      <c r="A124" s="4" t="s">
        <v>72</v>
      </c>
      <c r="B124" s="4" t="s">
        <v>77</v>
      </c>
      <c r="C124" s="4" t="s">
        <v>79</v>
      </c>
      <c r="D124" s="4" t="s">
        <v>78</v>
      </c>
      <c r="E124" s="4" t="s">
        <v>120</v>
      </c>
      <c r="F124" s="4">
        <v>1</v>
      </c>
      <c r="G124" s="6">
        <f>IF('评分录入'!M8="纳入",1,0)</f>
        <v>0</v>
      </c>
      <c r="H124" s="6">
        <f>IF(ISNUMBER('评分录入'!AB8),1,0)</f>
        <v>0</v>
      </c>
      <c r="I124" s="6">
        <f>IF(AND(ISNUMBER('评分录入'!AB8),'评分录入'!AB8=1),1,0)</f>
        <v>0</v>
      </c>
      <c r="J124" s="6">
        <f>IF(AND(ISNUMBER('评分录入'!AB8),'评分录入'!AB8=0.5),1,0)</f>
        <v>0</v>
      </c>
      <c r="K124" s="6">
        <f>IF(AND(ISNUMBER('评分录入'!AB8),'评分录入'!AB8=0),1,0)</f>
        <v>0</v>
      </c>
      <c r="L124" s="6">
        <f>G124-H124</f>
        <v>0</v>
      </c>
      <c r="M124" s="7">
        <f>IF(H124=0,"",(I124+J124*0.5)/H124)</f>
        <v/>
      </c>
    </row>
    <row r="125" spans="1:13" ht="28" customHeight="1">
      <c r="A125" s="4" t="s">
        <v>72</v>
      </c>
      <c r="B125" s="4" t="s">
        <v>77</v>
      </c>
      <c r="C125" s="4" t="s">
        <v>79</v>
      </c>
      <c r="D125" s="4" t="s">
        <v>78</v>
      </c>
      <c r="E125" s="4" t="s">
        <v>121</v>
      </c>
      <c r="F125" s="4">
        <v>1</v>
      </c>
      <c r="G125" s="6">
        <f>IF('评分录入'!M8="纳入",1,0)</f>
        <v>0</v>
      </c>
      <c r="H125" s="6">
        <f>IF(ISNUMBER('评分录入'!AC8),1,0)</f>
        <v>0</v>
      </c>
      <c r="I125" s="6">
        <f>IF(AND(ISNUMBER('评分录入'!AC8),'评分录入'!AC8=1),1,0)</f>
        <v>0</v>
      </c>
      <c r="J125" s="6">
        <f>IF(AND(ISNUMBER('评分录入'!AC8),'评分录入'!AC8=0.5),1,0)</f>
        <v>0</v>
      </c>
      <c r="K125" s="6">
        <f>IF(AND(ISNUMBER('评分录入'!AC8),'评分录入'!AC8=0),1,0)</f>
        <v>0</v>
      </c>
      <c r="L125" s="6">
        <f>G125-H125</f>
        <v>0</v>
      </c>
      <c r="M125" s="7">
        <f>IF(H125=0,"",(I125+J125*0.5)/H125)</f>
        <v/>
      </c>
    </row>
    <row r="126" spans="1:13" ht="28" customHeight="1">
      <c r="A126" s="4" t="s">
        <v>72</v>
      </c>
      <c r="B126" s="4" t="s">
        <v>77</v>
      </c>
      <c r="C126" s="4" t="s">
        <v>79</v>
      </c>
      <c r="D126" s="4" t="s">
        <v>78</v>
      </c>
      <c r="E126" s="4" t="s">
        <v>122</v>
      </c>
      <c r="F126" s="4">
        <v>1</v>
      </c>
      <c r="G126" s="6">
        <f>IF('评分录入'!M8="纳入",1,0)</f>
        <v>0</v>
      </c>
      <c r="H126" s="6">
        <f>IF(ISNUMBER('评分录入'!AD8),1,0)</f>
        <v>0</v>
      </c>
      <c r="I126" s="6">
        <f>IF(AND(ISNUMBER('评分录入'!AD8),'评分录入'!AD8=1),1,0)</f>
        <v>0</v>
      </c>
      <c r="J126" s="6">
        <f>IF(AND(ISNUMBER('评分录入'!AD8),'评分录入'!AD8=0.5),1,0)</f>
        <v>0</v>
      </c>
      <c r="K126" s="6">
        <f>IF(AND(ISNUMBER('评分录入'!AD8),'评分录入'!AD8=0),1,0)</f>
        <v>0</v>
      </c>
      <c r="L126" s="6">
        <f>G126-H126</f>
        <v>0</v>
      </c>
      <c r="M126" s="7">
        <f>IF(H126=0,"",(I126+J126*0.5)/H126)</f>
        <v/>
      </c>
    </row>
    <row r="127" spans="1:13" ht="28" customHeight="1">
      <c r="A127" s="4" t="s">
        <v>72</v>
      </c>
      <c r="B127" s="4" t="s">
        <v>77</v>
      </c>
      <c r="C127" s="4" t="s">
        <v>79</v>
      </c>
      <c r="D127" s="4" t="s">
        <v>75</v>
      </c>
      <c r="E127" s="4" t="s">
        <v>117</v>
      </c>
      <c r="F127" s="4">
        <v>1</v>
      </c>
      <c r="G127" s="6">
        <f>IF('评分录入'!M28="纳入",1,0)</f>
        <v>0</v>
      </c>
      <c r="H127" s="6">
        <f>IF(ISNUMBER('评分录入'!T28),1,0)</f>
        <v>0</v>
      </c>
      <c r="I127" s="6">
        <f>IF(AND(ISNUMBER('评分录入'!T28),'评分录入'!T28=1),1,0)</f>
        <v>0</v>
      </c>
      <c r="J127" s="6">
        <f>IF(AND(ISNUMBER('评分录入'!T28),'评分录入'!T28=0.5),1,0)</f>
        <v>0</v>
      </c>
      <c r="K127" s="6">
        <f>IF(AND(ISNUMBER('评分录入'!T28),'评分录入'!T28=0),1,0)</f>
        <v>0</v>
      </c>
      <c r="L127" s="6">
        <f>G127-H127</f>
        <v>0</v>
      </c>
      <c r="M127" s="7">
        <f>IF(H127=0,"",(I127+J127*0.5)/H127)</f>
        <v/>
      </c>
    </row>
    <row r="128" spans="1:13" ht="28" customHeight="1">
      <c r="A128" s="4" t="s">
        <v>72</v>
      </c>
      <c r="B128" s="4" t="s">
        <v>77</v>
      </c>
      <c r="C128" s="4" t="s">
        <v>79</v>
      </c>
      <c r="D128" s="4" t="s">
        <v>75</v>
      </c>
      <c r="E128" s="4" t="s">
        <v>118</v>
      </c>
      <c r="F128" s="4">
        <v>1</v>
      </c>
      <c r="G128" s="6">
        <f>IF('评分录入'!M28="纳入",1,0)</f>
        <v>0</v>
      </c>
      <c r="H128" s="6">
        <f>IF(ISNUMBER('评分录入'!Z28),1,0)</f>
        <v>0</v>
      </c>
      <c r="I128" s="6">
        <f>IF(AND(ISNUMBER('评分录入'!Z28),'评分录入'!Z28=1),1,0)</f>
        <v>0</v>
      </c>
      <c r="J128" s="6">
        <f>IF(AND(ISNUMBER('评分录入'!Z28),'评分录入'!Z28=0.5),1,0)</f>
        <v>0</v>
      </c>
      <c r="K128" s="6">
        <f>IF(AND(ISNUMBER('评分录入'!Z28),'评分录入'!Z28=0),1,0)</f>
        <v>0</v>
      </c>
      <c r="L128" s="6">
        <f>G128-H128</f>
        <v>0</v>
      </c>
      <c r="M128" s="7">
        <f>IF(H128=0,"",(I128+J128*0.5)/H128)</f>
        <v/>
      </c>
    </row>
    <row r="129" spans="1:13" ht="28" customHeight="1">
      <c r="A129" s="4" t="s">
        <v>72</v>
      </c>
      <c r="B129" s="4" t="s">
        <v>77</v>
      </c>
      <c r="C129" s="4" t="s">
        <v>79</v>
      </c>
      <c r="D129" s="4" t="s">
        <v>75</v>
      </c>
      <c r="E129" s="4" t="s">
        <v>119</v>
      </c>
      <c r="F129" s="4">
        <v>1</v>
      </c>
      <c r="G129" s="6">
        <f>IF('评分录入'!M28="纳入",1,0)</f>
        <v>0</v>
      </c>
      <c r="H129" s="6">
        <f>IF(ISNUMBER('评分录入'!AA28),1,0)</f>
        <v>0</v>
      </c>
      <c r="I129" s="6">
        <f>IF(AND(ISNUMBER('评分录入'!AA28),'评分录入'!AA28=1),1,0)</f>
        <v>0</v>
      </c>
      <c r="J129" s="6">
        <f>IF(AND(ISNUMBER('评分录入'!AA28),'评分录入'!AA28=0.5),1,0)</f>
        <v>0</v>
      </c>
      <c r="K129" s="6">
        <f>IF(AND(ISNUMBER('评分录入'!AA28),'评分录入'!AA28=0),1,0)</f>
        <v>0</v>
      </c>
      <c r="L129" s="6">
        <f>G129-H129</f>
        <v>0</v>
      </c>
      <c r="M129" s="7">
        <f>IF(H129=0,"",(I129+J129*0.5)/H129)</f>
        <v/>
      </c>
    </row>
    <row r="130" spans="1:13" ht="28" customHeight="1">
      <c r="A130" s="4" t="s">
        <v>72</v>
      </c>
      <c r="B130" s="4" t="s">
        <v>77</v>
      </c>
      <c r="C130" s="4" t="s">
        <v>79</v>
      </c>
      <c r="D130" s="4" t="s">
        <v>75</v>
      </c>
      <c r="E130" s="4" t="s">
        <v>120</v>
      </c>
      <c r="F130" s="4">
        <v>1</v>
      </c>
      <c r="G130" s="6">
        <f>IF('评分录入'!M28="纳入",1,0)</f>
        <v>0</v>
      </c>
      <c r="H130" s="6">
        <f>IF(ISNUMBER('评分录入'!AB28),1,0)</f>
        <v>0</v>
      </c>
      <c r="I130" s="6">
        <f>IF(AND(ISNUMBER('评分录入'!AB28),'评分录入'!AB28=1),1,0)</f>
        <v>0</v>
      </c>
      <c r="J130" s="6">
        <f>IF(AND(ISNUMBER('评分录入'!AB28),'评分录入'!AB28=0.5),1,0)</f>
        <v>0</v>
      </c>
      <c r="K130" s="6">
        <f>IF(AND(ISNUMBER('评分录入'!AB28),'评分录入'!AB28=0),1,0)</f>
        <v>0</v>
      </c>
      <c r="L130" s="6">
        <f>G130-H130</f>
        <v>0</v>
      </c>
      <c r="M130" s="7">
        <f>IF(H130=0,"",(I130+J130*0.5)/H130)</f>
        <v/>
      </c>
    </row>
    <row r="131" spans="1:13" ht="28" customHeight="1">
      <c r="A131" s="4" t="s">
        <v>72</v>
      </c>
      <c r="B131" s="4" t="s">
        <v>77</v>
      </c>
      <c r="C131" s="4" t="s">
        <v>79</v>
      </c>
      <c r="D131" s="4" t="s">
        <v>75</v>
      </c>
      <c r="E131" s="4" t="s">
        <v>121</v>
      </c>
      <c r="F131" s="4">
        <v>1</v>
      </c>
      <c r="G131" s="6">
        <f>IF('评分录入'!M28="纳入",1,0)</f>
        <v>0</v>
      </c>
      <c r="H131" s="6">
        <f>IF(ISNUMBER('评分录入'!AC28),1,0)</f>
        <v>0</v>
      </c>
      <c r="I131" s="6">
        <f>IF(AND(ISNUMBER('评分录入'!AC28),'评分录入'!AC28=1),1,0)</f>
        <v>0</v>
      </c>
      <c r="J131" s="6">
        <f>IF(AND(ISNUMBER('评分录入'!AC28),'评分录入'!AC28=0.5),1,0)</f>
        <v>0</v>
      </c>
      <c r="K131" s="6">
        <f>IF(AND(ISNUMBER('评分录入'!AC28),'评分录入'!AC28=0),1,0)</f>
        <v>0</v>
      </c>
      <c r="L131" s="6">
        <f>G131-H131</f>
        <v>0</v>
      </c>
      <c r="M131" s="7">
        <f>IF(H131=0,"",(I131+J131*0.5)/H131)</f>
        <v/>
      </c>
    </row>
    <row r="132" spans="1:13" ht="28" customHeight="1">
      <c r="A132" s="4" t="s">
        <v>72</v>
      </c>
      <c r="B132" s="4" t="s">
        <v>77</v>
      </c>
      <c r="C132" s="4" t="s">
        <v>79</v>
      </c>
      <c r="D132" s="4" t="s">
        <v>75</v>
      </c>
      <c r="E132" s="4" t="s">
        <v>122</v>
      </c>
      <c r="F132" s="4">
        <v>1</v>
      </c>
      <c r="G132" s="6">
        <f>IF('评分录入'!M28="纳入",1,0)</f>
        <v>0</v>
      </c>
      <c r="H132" s="6">
        <f>IF(ISNUMBER('评分录入'!AD28),1,0)</f>
        <v>0</v>
      </c>
      <c r="I132" s="6">
        <f>IF(AND(ISNUMBER('评分录入'!AD28),'评分录入'!AD28=1),1,0)</f>
        <v>0</v>
      </c>
      <c r="J132" s="6">
        <f>IF(AND(ISNUMBER('评分录入'!AD28),'评分录入'!AD28=0.5),1,0)</f>
        <v>0</v>
      </c>
      <c r="K132" s="6">
        <f>IF(AND(ISNUMBER('评分录入'!AD28),'评分录入'!AD28=0),1,0)</f>
        <v>0</v>
      </c>
      <c r="L132" s="6">
        <f>G132-H132</f>
        <v>0</v>
      </c>
      <c r="M132" s="7">
        <f>IF(H132=0,"",(I132+J132*0.5)/H132)</f>
        <v/>
      </c>
    </row>
    <row r="133" spans="1:13" ht="28" customHeight="1">
      <c r="A133" s="4" t="s">
        <v>72</v>
      </c>
      <c r="B133" s="4" t="s">
        <v>77</v>
      </c>
      <c r="C133" s="4" t="s">
        <v>94</v>
      </c>
      <c r="D133" s="4" t="s">
        <v>89</v>
      </c>
      <c r="E133" s="4" t="s">
        <v>117</v>
      </c>
      <c r="F133" s="4">
        <v>1</v>
      </c>
      <c r="G133" s="6">
        <f>IF('评分录入'!M52="纳入",1,0)</f>
        <v>0</v>
      </c>
      <c r="H133" s="6">
        <f>IF(ISNUMBER('评分录入'!T52),1,0)</f>
        <v>0</v>
      </c>
      <c r="I133" s="6">
        <f>IF(AND(ISNUMBER('评分录入'!T52),'评分录入'!T52=1),1,0)</f>
        <v>0</v>
      </c>
      <c r="J133" s="6">
        <f>IF(AND(ISNUMBER('评分录入'!T52),'评分录入'!T52=0.5),1,0)</f>
        <v>0</v>
      </c>
      <c r="K133" s="6">
        <f>IF(AND(ISNUMBER('评分录入'!T52),'评分录入'!T52=0),1,0)</f>
        <v>0</v>
      </c>
      <c r="L133" s="6">
        <f>G133-H133</f>
        <v>0</v>
      </c>
      <c r="M133" s="7">
        <f>IF(H133=0,"",(I133+J133*0.5)/H133)</f>
        <v/>
      </c>
    </row>
    <row r="134" spans="1:13" ht="28" customHeight="1">
      <c r="A134" s="4" t="s">
        <v>72</v>
      </c>
      <c r="B134" s="4" t="s">
        <v>77</v>
      </c>
      <c r="C134" s="4" t="s">
        <v>94</v>
      </c>
      <c r="D134" s="4" t="s">
        <v>89</v>
      </c>
      <c r="E134" s="4" t="s">
        <v>118</v>
      </c>
      <c r="F134" s="4">
        <v>1</v>
      </c>
      <c r="G134" s="6">
        <f>IF('评分录入'!M52="纳入",1,0)</f>
        <v>0</v>
      </c>
      <c r="H134" s="6">
        <f>IF(ISNUMBER('评分录入'!Z52),1,0)</f>
        <v>0</v>
      </c>
      <c r="I134" s="6">
        <f>IF(AND(ISNUMBER('评分录入'!Z52),'评分录入'!Z52=1),1,0)</f>
        <v>0</v>
      </c>
      <c r="J134" s="6">
        <f>IF(AND(ISNUMBER('评分录入'!Z52),'评分录入'!Z52=0.5),1,0)</f>
        <v>0</v>
      </c>
      <c r="K134" s="6">
        <f>IF(AND(ISNUMBER('评分录入'!Z52),'评分录入'!Z52=0),1,0)</f>
        <v>0</v>
      </c>
      <c r="L134" s="6">
        <f>G134-H134</f>
        <v>0</v>
      </c>
      <c r="M134" s="7">
        <f>IF(H134=0,"",(I134+J134*0.5)/H134)</f>
        <v/>
      </c>
    </row>
    <row r="135" spans="1:13" ht="28" customHeight="1">
      <c r="A135" s="4" t="s">
        <v>72</v>
      </c>
      <c r="B135" s="4" t="s">
        <v>77</v>
      </c>
      <c r="C135" s="4" t="s">
        <v>94</v>
      </c>
      <c r="D135" s="4" t="s">
        <v>89</v>
      </c>
      <c r="E135" s="4" t="s">
        <v>119</v>
      </c>
      <c r="F135" s="4">
        <v>1</v>
      </c>
      <c r="G135" s="6">
        <f>IF('评分录入'!M52="纳入",1,0)</f>
        <v>0</v>
      </c>
      <c r="H135" s="6">
        <f>IF(ISNUMBER('评分录入'!AA52),1,0)</f>
        <v>0</v>
      </c>
      <c r="I135" s="6">
        <f>IF(AND(ISNUMBER('评分录入'!AA52),'评分录入'!AA52=1),1,0)</f>
        <v>0</v>
      </c>
      <c r="J135" s="6">
        <f>IF(AND(ISNUMBER('评分录入'!AA52),'评分录入'!AA52=0.5),1,0)</f>
        <v>0</v>
      </c>
      <c r="K135" s="6">
        <f>IF(AND(ISNUMBER('评分录入'!AA52),'评分录入'!AA52=0),1,0)</f>
        <v>0</v>
      </c>
      <c r="L135" s="6">
        <f>G135-H135</f>
        <v>0</v>
      </c>
      <c r="M135" s="7">
        <f>IF(H135=0,"",(I135+J135*0.5)/H135)</f>
        <v/>
      </c>
    </row>
    <row r="136" spans="1:13" ht="28" customHeight="1">
      <c r="A136" s="4" t="s">
        <v>72</v>
      </c>
      <c r="B136" s="4" t="s">
        <v>77</v>
      </c>
      <c r="C136" s="4" t="s">
        <v>94</v>
      </c>
      <c r="D136" s="4" t="s">
        <v>89</v>
      </c>
      <c r="E136" s="4" t="s">
        <v>120</v>
      </c>
      <c r="F136" s="4">
        <v>1</v>
      </c>
      <c r="G136" s="6">
        <f>IF('评分录入'!M52="纳入",1,0)</f>
        <v>0</v>
      </c>
      <c r="H136" s="6">
        <f>IF(ISNUMBER('评分录入'!AB52),1,0)</f>
        <v>0</v>
      </c>
      <c r="I136" s="6">
        <f>IF(AND(ISNUMBER('评分录入'!AB52),'评分录入'!AB52=1),1,0)</f>
        <v>0</v>
      </c>
      <c r="J136" s="6">
        <f>IF(AND(ISNUMBER('评分录入'!AB52),'评分录入'!AB52=0.5),1,0)</f>
        <v>0</v>
      </c>
      <c r="K136" s="6">
        <f>IF(AND(ISNUMBER('评分录入'!AB52),'评分录入'!AB52=0),1,0)</f>
        <v>0</v>
      </c>
      <c r="L136" s="6">
        <f>G136-H136</f>
        <v>0</v>
      </c>
      <c r="M136" s="7">
        <f>IF(H136=0,"",(I136+J136*0.5)/H136)</f>
        <v/>
      </c>
    </row>
    <row r="137" spans="1:13" ht="28" customHeight="1">
      <c r="A137" s="4" t="s">
        <v>72</v>
      </c>
      <c r="B137" s="4" t="s">
        <v>77</v>
      </c>
      <c r="C137" s="4" t="s">
        <v>94</v>
      </c>
      <c r="D137" s="4" t="s">
        <v>89</v>
      </c>
      <c r="E137" s="4" t="s">
        <v>121</v>
      </c>
      <c r="F137" s="4">
        <v>1</v>
      </c>
      <c r="G137" s="6">
        <f>IF('评分录入'!M52="纳入",1,0)</f>
        <v>0</v>
      </c>
      <c r="H137" s="6">
        <f>IF(ISNUMBER('评分录入'!AC52),1,0)</f>
        <v>0</v>
      </c>
      <c r="I137" s="6">
        <f>IF(AND(ISNUMBER('评分录入'!AC52),'评分录入'!AC52=1),1,0)</f>
        <v>0</v>
      </c>
      <c r="J137" s="6">
        <f>IF(AND(ISNUMBER('评分录入'!AC52),'评分录入'!AC52=0.5),1,0)</f>
        <v>0</v>
      </c>
      <c r="K137" s="6">
        <f>IF(AND(ISNUMBER('评分录入'!AC52),'评分录入'!AC52=0),1,0)</f>
        <v>0</v>
      </c>
      <c r="L137" s="6">
        <f>G137-H137</f>
        <v>0</v>
      </c>
      <c r="M137" s="7">
        <f>IF(H137=0,"",(I137+J137*0.5)/H137)</f>
        <v/>
      </c>
    </row>
    <row r="138" spans="1:13" ht="28" customHeight="1">
      <c r="A138" s="4" t="s">
        <v>72</v>
      </c>
      <c r="B138" s="4" t="s">
        <v>77</v>
      </c>
      <c r="C138" s="4" t="s">
        <v>94</v>
      </c>
      <c r="D138" s="4" t="s">
        <v>89</v>
      </c>
      <c r="E138" s="4" t="s">
        <v>122</v>
      </c>
      <c r="F138" s="4">
        <v>1</v>
      </c>
      <c r="G138" s="6">
        <f>IF('评分录入'!M52="纳入",1,0)</f>
        <v>0</v>
      </c>
      <c r="H138" s="6">
        <f>IF(ISNUMBER('评分录入'!AD52),1,0)</f>
        <v>0</v>
      </c>
      <c r="I138" s="6">
        <f>IF(AND(ISNUMBER('评分录入'!AD52),'评分录入'!AD52=1),1,0)</f>
        <v>0</v>
      </c>
      <c r="J138" s="6">
        <f>IF(AND(ISNUMBER('评分录入'!AD52),'评分录入'!AD52=0.5),1,0)</f>
        <v>0</v>
      </c>
      <c r="K138" s="6">
        <f>IF(AND(ISNUMBER('评分录入'!AD52),'评分录入'!AD52=0),1,0)</f>
        <v>0</v>
      </c>
      <c r="L138" s="6">
        <f>G138-H138</f>
        <v>0</v>
      </c>
      <c r="M138" s="7">
        <f>IF(H138=0,"",(I138+J138*0.5)/H138)</f>
        <v/>
      </c>
    </row>
    <row r="139" spans="1:13" ht="28" customHeight="1">
      <c r="A139" s="4" t="s">
        <v>72</v>
      </c>
      <c r="B139" s="4" t="s">
        <v>77</v>
      </c>
      <c r="C139" s="4" t="s">
        <v>74</v>
      </c>
      <c r="D139" s="4" t="s">
        <v>79</v>
      </c>
      <c r="E139" s="4" t="s">
        <v>117</v>
      </c>
      <c r="F139" s="4">
        <v>1</v>
      </c>
      <c r="G139" s="6">
        <f>IF('评分录入'!M56="纳入",1,0)</f>
        <v>0</v>
      </c>
      <c r="H139" s="6">
        <f>IF(ISNUMBER('评分录入'!T56),1,0)</f>
        <v>0</v>
      </c>
      <c r="I139" s="6">
        <f>IF(AND(ISNUMBER('评分录入'!T56),'评分录入'!T56=1),1,0)</f>
        <v>0</v>
      </c>
      <c r="J139" s="6">
        <f>IF(AND(ISNUMBER('评分录入'!T56),'评分录入'!T56=0.5),1,0)</f>
        <v>0</v>
      </c>
      <c r="K139" s="6">
        <f>IF(AND(ISNUMBER('评分录入'!T56),'评分录入'!T56=0),1,0)</f>
        <v>0</v>
      </c>
      <c r="L139" s="6">
        <f>G139-H139</f>
        <v>0</v>
      </c>
      <c r="M139" s="7">
        <f>IF(H139=0,"",(I139+J139*0.5)/H139)</f>
        <v/>
      </c>
    </row>
    <row r="140" spans="1:13" ht="28" customHeight="1">
      <c r="A140" s="4" t="s">
        <v>72</v>
      </c>
      <c r="B140" s="4" t="s">
        <v>77</v>
      </c>
      <c r="C140" s="4" t="s">
        <v>74</v>
      </c>
      <c r="D140" s="4" t="s">
        <v>79</v>
      </c>
      <c r="E140" s="4" t="s">
        <v>118</v>
      </c>
      <c r="F140" s="4">
        <v>1</v>
      </c>
      <c r="G140" s="6">
        <f>IF('评分录入'!M56="纳入",1,0)</f>
        <v>0</v>
      </c>
      <c r="H140" s="6">
        <f>IF(ISNUMBER('评分录入'!Z56),1,0)</f>
        <v>0</v>
      </c>
      <c r="I140" s="6">
        <f>IF(AND(ISNUMBER('评分录入'!Z56),'评分录入'!Z56=1),1,0)</f>
        <v>0</v>
      </c>
      <c r="J140" s="6">
        <f>IF(AND(ISNUMBER('评分录入'!Z56),'评分录入'!Z56=0.5),1,0)</f>
        <v>0</v>
      </c>
      <c r="K140" s="6">
        <f>IF(AND(ISNUMBER('评分录入'!Z56),'评分录入'!Z56=0),1,0)</f>
        <v>0</v>
      </c>
      <c r="L140" s="6">
        <f>G140-H140</f>
        <v>0</v>
      </c>
      <c r="M140" s="7">
        <f>IF(H140=0,"",(I140+J140*0.5)/H140)</f>
        <v/>
      </c>
    </row>
    <row r="141" spans="1:13" ht="28" customHeight="1">
      <c r="A141" s="4" t="s">
        <v>72</v>
      </c>
      <c r="B141" s="4" t="s">
        <v>77</v>
      </c>
      <c r="C141" s="4" t="s">
        <v>74</v>
      </c>
      <c r="D141" s="4" t="s">
        <v>79</v>
      </c>
      <c r="E141" s="4" t="s">
        <v>119</v>
      </c>
      <c r="F141" s="4">
        <v>1</v>
      </c>
      <c r="G141" s="6">
        <f>IF('评分录入'!M56="纳入",1,0)</f>
        <v>0</v>
      </c>
      <c r="H141" s="6">
        <f>IF(ISNUMBER('评分录入'!AA56),1,0)</f>
        <v>0</v>
      </c>
      <c r="I141" s="6">
        <f>IF(AND(ISNUMBER('评分录入'!AA56),'评分录入'!AA56=1),1,0)</f>
        <v>0</v>
      </c>
      <c r="J141" s="6">
        <f>IF(AND(ISNUMBER('评分录入'!AA56),'评分录入'!AA56=0.5),1,0)</f>
        <v>0</v>
      </c>
      <c r="K141" s="6">
        <f>IF(AND(ISNUMBER('评分录入'!AA56),'评分录入'!AA56=0),1,0)</f>
        <v>0</v>
      </c>
      <c r="L141" s="6">
        <f>G141-H141</f>
        <v>0</v>
      </c>
      <c r="M141" s="7">
        <f>IF(H141=0,"",(I141+J141*0.5)/H141)</f>
        <v/>
      </c>
    </row>
    <row r="142" spans="1:13" ht="28" customHeight="1">
      <c r="A142" s="4" t="s">
        <v>72</v>
      </c>
      <c r="B142" s="4" t="s">
        <v>77</v>
      </c>
      <c r="C142" s="4" t="s">
        <v>74</v>
      </c>
      <c r="D142" s="4" t="s">
        <v>79</v>
      </c>
      <c r="E142" s="4" t="s">
        <v>120</v>
      </c>
      <c r="F142" s="4">
        <v>1</v>
      </c>
      <c r="G142" s="6">
        <f>IF('评分录入'!M56="纳入",1,0)</f>
        <v>0</v>
      </c>
      <c r="H142" s="6">
        <f>IF(ISNUMBER('评分录入'!AB56),1,0)</f>
        <v>0</v>
      </c>
      <c r="I142" s="6">
        <f>IF(AND(ISNUMBER('评分录入'!AB56),'评分录入'!AB56=1),1,0)</f>
        <v>0</v>
      </c>
      <c r="J142" s="6">
        <f>IF(AND(ISNUMBER('评分录入'!AB56),'评分录入'!AB56=0.5),1,0)</f>
        <v>0</v>
      </c>
      <c r="K142" s="6">
        <f>IF(AND(ISNUMBER('评分录入'!AB56),'评分录入'!AB56=0),1,0)</f>
        <v>0</v>
      </c>
      <c r="L142" s="6">
        <f>G142-H142</f>
        <v>0</v>
      </c>
      <c r="M142" s="7">
        <f>IF(H142=0,"",(I142+J142*0.5)/H142)</f>
        <v/>
      </c>
    </row>
    <row r="143" spans="1:13" ht="28" customHeight="1">
      <c r="A143" s="4" t="s">
        <v>72</v>
      </c>
      <c r="B143" s="4" t="s">
        <v>77</v>
      </c>
      <c r="C143" s="4" t="s">
        <v>74</v>
      </c>
      <c r="D143" s="4" t="s">
        <v>79</v>
      </c>
      <c r="E143" s="4" t="s">
        <v>121</v>
      </c>
      <c r="F143" s="4">
        <v>1</v>
      </c>
      <c r="G143" s="6">
        <f>IF('评分录入'!M56="纳入",1,0)</f>
        <v>0</v>
      </c>
      <c r="H143" s="6">
        <f>IF(ISNUMBER('评分录入'!AC56),1,0)</f>
        <v>0</v>
      </c>
      <c r="I143" s="6">
        <f>IF(AND(ISNUMBER('评分录入'!AC56),'评分录入'!AC56=1),1,0)</f>
        <v>0</v>
      </c>
      <c r="J143" s="6">
        <f>IF(AND(ISNUMBER('评分录入'!AC56),'评分录入'!AC56=0.5),1,0)</f>
        <v>0</v>
      </c>
      <c r="K143" s="6">
        <f>IF(AND(ISNUMBER('评分录入'!AC56),'评分录入'!AC56=0),1,0)</f>
        <v>0</v>
      </c>
      <c r="L143" s="6">
        <f>G143-H143</f>
        <v>0</v>
      </c>
      <c r="M143" s="7">
        <f>IF(H143=0,"",(I143+J143*0.5)/H143)</f>
        <v/>
      </c>
    </row>
    <row r="144" spans="1:13" ht="28" customHeight="1">
      <c r="A144" s="4" t="s">
        <v>72</v>
      </c>
      <c r="B144" s="4" t="s">
        <v>77</v>
      </c>
      <c r="C144" s="4" t="s">
        <v>74</v>
      </c>
      <c r="D144" s="4" t="s">
        <v>79</v>
      </c>
      <c r="E144" s="4" t="s">
        <v>122</v>
      </c>
      <c r="F144" s="4">
        <v>1</v>
      </c>
      <c r="G144" s="6">
        <f>IF('评分录入'!M56="纳入",1,0)</f>
        <v>0</v>
      </c>
      <c r="H144" s="6">
        <f>IF(ISNUMBER('评分录入'!AD56),1,0)</f>
        <v>0</v>
      </c>
      <c r="I144" s="6">
        <f>IF(AND(ISNUMBER('评分录入'!AD56),'评分录入'!AD56=1),1,0)</f>
        <v>0</v>
      </c>
      <c r="J144" s="6">
        <f>IF(AND(ISNUMBER('评分录入'!AD56),'评分录入'!AD56=0.5),1,0)</f>
        <v>0</v>
      </c>
      <c r="K144" s="6">
        <f>IF(AND(ISNUMBER('评分录入'!AD56),'评分录入'!AD56=0),1,0)</f>
        <v>0</v>
      </c>
      <c r="L144" s="6">
        <f>G144-H144</f>
        <v>0</v>
      </c>
      <c r="M144" s="7">
        <f>IF(H144=0,"",(I144+J144*0.5)/H144)</f>
        <v/>
      </c>
    </row>
    <row r="145" spans="1:13" ht="28" customHeight="1">
      <c r="A145" s="4" t="s">
        <v>72</v>
      </c>
      <c r="B145" s="4" t="s">
        <v>77</v>
      </c>
      <c r="C145" s="4" t="s">
        <v>78</v>
      </c>
      <c r="D145" s="4" t="s">
        <v>89</v>
      </c>
      <c r="E145" s="4" t="s">
        <v>117</v>
      </c>
      <c r="F145" s="4">
        <v>1</v>
      </c>
      <c r="G145" s="6">
        <f>IF('评分录入'!M33="纳入",1,0)</f>
        <v>0</v>
      </c>
      <c r="H145" s="6">
        <f>IF(ISNUMBER('评分录入'!T33),1,0)</f>
        <v>0</v>
      </c>
      <c r="I145" s="6">
        <f>IF(AND(ISNUMBER('评分录入'!T33),'评分录入'!T33=1),1,0)</f>
        <v>0</v>
      </c>
      <c r="J145" s="6">
        <f>IF(AND(ISNUMBER('评分录入'!T33),'评分录入'!T33=0.5),1,0)</f>
        <v>0</v>
      </c>
      <c r="K145" s="6">
        <f>IF(AND(ISNUMBER('评分录入'!T33),'评分录入'!T33=0),1,0)</f>
        <v>0</v>
      </c>
      <c r="L145" s="6">
        <f>G145-H145</f>
        <v>0</v>
      </c>
      <c r="M145" s="7">
        <f>IF(H145=0,"",(I145+J145*0.5)/H145)</f>
        <v/>
      </c>
    </row>
    <row r="146" spans="1:13" ht="28" customHeight="1">
      <c r="A146" s="4" t="s">
        <v>72</v>
      </c>
      <c r="B146" s="4" t="s">
        <v>77</v>
      </c>
      <c r="C146" s="4" t="s">
        <v>78</v>
      </c>
      <c r="D146" s="4" t="s">
        <v>89</v>
      </c>
      <c r="E146" s="4" t="s">
        <v>118</v>
      </c>
      <c r="F146" s="4">
        <v>1</v>
      </c>
      <c r="G146" s="6">
        <f>IF('评分录入'!M33="纳入",1,0)</f>
        <v>0</v>
      </c>
      <c r="H146" s="6">
        <f>IF(ISNUMBER('评分录入'!Z33),1,0)</f>
        <v>0</v>
      </c>
      <c r="I146" s="6">
        <f>IF(AND(ISNUMBER('评分录入'!Z33),'评分录入'!Z33=1),1,0)</f>
        <v>0</v>
      </c>
      <c r="J146" s="6">
        <f>IF(AND(ISNUMBER('评分录入'!Z33),'评分录入'!Z33=0.5),1,0)</f>
        <v>0</v>
      </c>
      <c r="K146" s="6">
        <f>IF(AND(ISNUMBER('评分录入'!Z33),'评分录入'!Z33=0),1,0)</f>
        <v>0</v>
      </c>
      <c r="L146" s="6">
        <f>G146-H146</f>
        <v>0</v>
      </c>
      <c r="M146" s="7">
        <f>IF(H146=0,"",(I146+J146*0.5)/H146)</f>
        <v/>
      </c>
    </row>
    <row r="147" spans="1:13" ht="28" customHeight="1">
      <c r="A147" s="4" t="s">
        <v>72</v>
      </c>
      <c r="B147" s="4" t="s">
        <v>77</v>
      </c>
      <c r="C147" s="4" t="s">
        <v>78</v>
      </c>
      <c r="D147" s="4" t="s">
        <v>89</v>
      </c>
      <c r="E147" s="4" t="s">
        <v>119</v>
      </c>
      <c r="F147" s="4">
        <v>1</v>
      </c>
      <c r="G147" s="6">
        <f>IF('评分录入'!M33="纳入",1,0)</f>
        <v>0</v>
      </c>
      <c r="H147" s="6">
        <f>IF(ISNUMBER('评分录入'!AA33),1,0)</f>
        <v>0</v>
      </c>
      <c r="I147" s="6">
        <f>IF(AND(ISNUMBER('评分录入'!AA33),'评分录入'!AA33=1),1,0)</f>
        <v>0</v>
      </c>
      <c r="J147" s="6">
        <f>IF(AND(ISNUMBER('评分录入'!AA33),'评分录入'!AA33=0.5),1,0)</f>
        <v>0</v>
      </c>
      <c r="K147" s="6">
        <f>IF(AND(ISNUMBER('评分录入'!AA33),'评分录入'!AA33=0),1,0)</f>
        <v>0</v>
      </c>
      <c r="L147" s="6">
        <f>G147-H147</f>
        <v>0</v>
      </c>
      <c r="M147" s="7">
        <f>IF(H147=0,"",(I147+J147*0.5)/H147)</f>
        <v/>
      </c>
    </row>
    <row r="148" spans="1:13" ht="28" customHeight="1">
      <c r="A148" s="4" t="s">
        <v>72</v>
      </c>
      <c r="B148" s="4" t="s">
        <v>77</v>
      </c>
      <c r="C148" s="4" t="s">
        <v>78</v>
      </c>
      <c r="D148" s="4" t="s">
        <v>89</v>
      </c>
      <c r="E148" s="4" t="s">
        <v>120</v>
      </c>
      <c r="F148" s="4">
        <v>1</v>
      </c>
      <c r="G148" s="6">
        <f>IF('评分录入'!M33="纳入",1,0)</f>
        <v>0</v>
      </c>
      <c r="H148" s="6">
        <f>IF(ISNUMBER('评分录入'!AB33),1,0)</f>
        <v>0</v>
      </c>
      <c r="I148" s="6">
        <f>IF(AND(ISNUMBER('评分录入'!AB33),'评分录入'!AB33=1),1,0)</f>
        <v>0</v>
      </c>
      <c r="J148" s="6">
        <f>IF(AND(ISNUMBER('评分录入'!AB33),'评分录入'!AB33=0.5),1,0)</f>
        <v>0</v>
      </c>
      <c r="K148" s="6">
        <f>IF(AND(ISNUMBER('评分录入'!AB33),'评分录入'!AB33=0),1,0)</f>
        <v>0</v>
      </c>
      <c r="L148" s="6">
        <f>G148-H148</f>
        <v>0</v>
      </c>
      <c r="M148" s="7">
        <f>IF(H148=0,"",(I148+J148*0.5)/H148)</f>
        <v/>
      </c>
    </row>
    <row r="149" spans="1:13" ht="28" customHeight="1">
      <c r="A149" s="4" t="s">
        <v>72</v>
      </c>
      <c r="B149" s="4" t="s">
        <v>77</v>
      </c>
      <c r="C149" s="4" t="s">
        <v>78</v>
      </c>
      <c r="D149" s="4" t="s">
        <v>89</v>
      </c>
      <c r="E149" s="4" t="s">
        <v>121</v>
      </c>
      <c r="F149" s="4">
        <v>1</v>
      </c>
      <c r="G149" s="6">
        <f>IF('评分录入'!M33="纳入",1,0)</f>
        <v>0</v>
      </c>
      <c r="H149" s="6">
        <f>IF(ISNUMBER('评分录入'!AC33),1,0)</f>
        <v>0</v>
      </c>
      <c r="I149" s="6">
        <f>IF(AND(ISNUMBER('评分录入'!AC33),'评分录入'!AC33=1),1,0)</f>
        <v>0</v>
      </c>
      <c r="J149" s="6">
        <f>IF(AND(ISNUMBER('评分录入'!AC33),'评分录入'!AC33=0.5),1,0)</f>
        <v>0</v>
      </c>
      <c r="K149" s="6">
        <f>IF(AND(ISNUMBER('评分录入'!AC33),'评分录入'!AC33=0),1,0)</f>
        <v>0</v>
      </c>
      <c r="L149" s="6">
        <f>G149-H149</f>
        <v>0</v>
      </c>
      <c r="M149" s="7">
        <f>IF(H149=0,"",(I149+J149*0.5)/H149)</f>
        <v/>
      </c>
    </row>
    <row r="150" spans="1:13" ht="28" customHeight="1">
      <c r="A150" s="4" t="s">
        <v>72</v>
      </c>
      <c r="B150" s="4" t="s">
        <v>77</v>
      </c>
      <c r="C150" s="4" t="s">
        <v>78</v>
      </c>
      <c r="D150" s="4" t="s">
        <v>89</v>
      </c>
      <c r="E150" s="4" t="s">
        <v>122</v>
      </c>
      <c r="F150" s="4">
        <v>1</v>
      </c>
      <c r="G150" s="6">
        <f>IF('评分录入'!M33="纳入",1,0)</f>
        <v>0</v>
      </c>
      <c r="H150" s="6">
        <f>IF(ISNUMBER('评分录入'!AD33),1,0)</f>
        <v>0</v>
      </c>
      <c r="I150" s="6">
        <f>IF(AND(ISNUMBER('评分录入'!AD33),'评分录入'!AD33=1),1,0)</f>
        <v>0</v>
      </c>
      <c r="J150" s="6">
        <f>IF(AND(ISNUMBER('评分录入'!AD33),'评分录入'!AD33=0.5),1,0)</f>
        <v>0</v>
      </c>
      <c r="K150" s="6">
        <f>IF(AND(ISNUMBER('评分录入'!AD33),'评分录入'!AD33=0),1,0)</f>
        <v>0</v>
      </c>
      <c r="L150" s="6">
        <f>G150-H150</f>
        <v>0</v>
      </c>
      <c r="M150" s="7">
        <f>IF(H150=0,"",(I150+J150*0.5)/H150)</f>
        <v/>
      </c>
    </row>
    <row r="151" spans="1:13" ht="28" customHeight="1">
      <c r="A151" s="4" t="s">
        <v>72</v>
      </c>
      <c r="B151" s="4" t="s">
        <v>77</v>
      </c>
      <c r="C151" s="4" t="s">
        <v>79</v>
      </c>
      <c r="D151" s="4" t="s">
        <v>87</v>
      </c>
      <c r="E151" s="4" t="s">
        <v>117</v>
      </c>
      <c r="F151" s="4">
        <v>1</v>
      </c>
      <c r="G151" s="6">
        <f>IF('评分录入'!M29="纳入",1,0)</f>
        <v>0</v>
      </c>
      <c r="H151" s="6">
        <f>IF(ISNUMBER('评分录入'!T29),1,0)</f>
        <v>0</v>
      </c>
      <c r="I151" s="6">
        <f>IF(AND(ISNUMBER('评分录入'!T29),'评分录入'!T29=1),1,0)</f>
        <v>0</v>
      </c>
      <c r="J151" s="6">
        <f>IF(AND(ISNUMBER('评分录入'!T29),'评分录入'!T29=0.5),1,0)</f>
        <v>0</v>
      </c>
      <c r="K151" s="6">
        <f>IF(AND(ISNUMBER('评分录入'!T29),'评分录入'!T29=0),1,0)</f>
        <v>0</v>
      </c>
      <c r="L151" s="6">
        <f>G151-H151</f>
        <v>0</v>
      </c>
      <c r="M151" s="7">
        <f>IF(H151=0,"",(I151+J151*0.5)/H151)</f>
        <v/>
      </c>
    </row>
    <row r="152" spans="1:13" ht="28" customHeight="1">
      <c r="A152" s="4" t="s">
        <v>72</v>
      </c>
      <c r="B152" s="4" t="s">
        <v>77</v>
      </c>
      <c r="C152" s="4" t="s">
        <v>79</v>
      </c>
      <c r="D152" s="4" t="s">
        <v>87</v>
      </c>
      <c r="E152" s="4" t="s">
        <v>118</v>
      </c>
      <c r="F152" s="4">
        <v>1</v>
      </c>
      <c r="G152" s="6">
        <f>IF('评分录入'!M29="纳入",1,0)</f>
        <v>0</v>
      </c>
      <c r="H152" s="6">
        <f>IF(ISNUMBER('评分录入'!Z29),1,0)</f>
        <v>0</v>
      </c>
      <c r="I152" s="6">
        <f>IF(AND(ISNUMBER('评分录入'!Z29),'评分录入'!Z29=1),1,0)</f>
        <v>0</v>
      </c>
      <c r="J152" s="6">
        <f>IF(AND(ISNUMBER('评分录入'!Z29),'评分录入'!Z29=0.5),1,0)</f>
        <v>0</v>
      </c>
      <c r="K152" s="6">
        <f>IF(AND(ISNUMBER('评分录入'!Z29),'评分录入'!Z29=0),1,0)</f>
        <v>0</v>
      </c>
      <c r="L152" s="6">
        <f>G152-H152</f>
        <v>0</v>
      </c>
      <c r="M152" s="7">
        <f>IF(H152=0,"",(I152+J152*0.5)/H152)</f>
        <v/>
      </c>
    </row>
    <row r="153" spans="1:13" ht="28" customHeight="1">
      <c r="A153" s="4" t="s">
        <v>72</v>
      </c>
      <c r="B153" s="4" t="s">
        <v>77</v>
      </c>
      <c r="C153" s="4" t="s">
        <v>79</v>
      </c>
      <c r="D153" s="4" t="s">
        <v>87</v>
      </c>
      <c r="E153" s="4" t="s">
        <v>119</v>
      </c>
      <c r="F153" s="4">
        <v>1</v>
      </c>
      <c r="G153" s="6">
        <f>IF('评分录入'!M29="纳入",1,0)</f>
        <v>0</v>
      </c>
      <c r="H153" s="6">
        <f>IF(ISNUMBER('评分录入'!AA29),1,0)</f>
        <v>0</v>
      </c>
      <c r="I153" s="6">
        <f>IF(AND(ISNUMBER('评分录入'!AA29),'评分录入'!AA29=1),1,0)</f>
        <v>0</v>
      </c>
      <c r="J153" s="6">
        <f>IF(AND(ISNUMBER('评分录入'!AA29),'评分录入'!AA29=0.5),1,0)</f>
        <v>0</v>
      </c>
      <c r="K153" s="6">
        <f>IF(AND(ISNUMBER('评分录入'!AA29),'评分录入'!AA29=0),1,0)</f>
        <v>0</v>
      </c>
      <c r="L153" s="6">
        <f>G153-H153</f>
        <v>0</v>
      </c>
      <c r="M153" s="7">
        <f>IF(H153=0,"",(I153+J153*0.5)/H153)</f>
        <v/>
      </c>
    </row>
    <row r="154" spans="1:13" ht="28" customHeight="1">
      <c r="A154" s="4" t="s">
        <v>72</v>
      </c>
      <c r="B154" s="4" t="s">
        <v>77</v>
      </c>
      <c r="C154" s="4" t="s">
        <v>79</v>
      </c>
      <c r="D154" s="4" t="s">
        <v>87</v>
      </c>
      <c r="E154" s="4" t="s">
        <v>120</v>
      </c>
      <c r="F154" s="4">
        <v>1</v>
      </c>
      <c r="G154" s="6">
        <f>IF('评分录入'!M29="纳入",1,0)</f>
        <v>0</v>
      </c>
      <c r="H154" s="6">
        <f>IF(ISNUMBER('评分录入'!AB29),1,0)</f>
        <v>0</v>
      </c>
      <c r="I154" s="6">
        <f>IF(AND(ISNUMBER('评分录入'!AB29),'评分录入'!AB29=1),1,0)</f>
        <v>0</v>
      </c>
      <c r="J154" s="6">
        <f>IF(AND(ISNUMBER('评分录入'!AB29),'评分录入'!AB29=0.5),1,0)</f>
        <v>0</v>
      </c>
      <c r="K154" s="6">
        <f>IF(AND(ISNUMBER('评分录入'!AB29),'评分录入'!AB29=0),1,0)</f>
        <v>0</v>
      </c>
      <c r="L154" s="6">
        <f>G154-H154</f>
        <v>0</v>
      </c>
      <c r="M154" s="7">
        <f>IF(H154=0,"",(I154+J154*0.5)/H154)</f>
        <v/>
      </c>
    </row>
    <row r="155" spans="1:13" ht="28" customHeight="1">
      <c r="A155" s="4" t="s">
        <v>72</v>
      </c>
      <c r="B155" s="4" t="s">
        <v>77</v>
      </c>
      <c r="C155" s="4" t="s">
        <v>79</v>
      </c>
      <c r="D155" s="4" t="s">
        <v>87</v>
      </c>
      <c r="E155" s="4" t="s">
        <v>121</v>
      </c>
      <c r="F155" s="4">
        <v>1</v>
      </c>
      <c r="G155" s="6">
        <f>IF('评分录入'!M29="纳入",1,0)</f>
        <v>0</v>
      </c>
      <c r="H155" s="6">
        <f>IF(ISNUMBER('评分录入'!AC29),1,0)</f>
        <v>0</v>
      </c>
      <c r="I155" s="6">
        <f>IF(AND(ISNUMBER('评分录入'!AC29),'评分录入'!AC29=1),1,0)</f>
        <v>0</v>
      </c>
      <c r="J155" s="6">
        <f>IF(AND(ISNUMBER('评分录入'!AC29),'评分录入'!AC29=0.5),1,0)</f>
        <v>0</v>
      </c>
      <c r="K155" s="6">
        <f>IF(AND(ISNUMBER('评分录入'!AC29),'评分录入'!AC29=0),1,0)</f>
        <v>0</v>
      </c>
      <c r="L155" s="6">
        <f>G155-H155</f>
        <v>0</v>
      </c>
      <c r="M155" s="7">
        <f>IF(H155=0,"",(I155+J155*0.5)/H155)</f>
        <v/>
      </c>
    </row>
    <row r="156" spans="1:13" ht="28" customHeight="1">
      <c r="A156" s="4" t="s">
        <v>72</v>
      </c>
      <c r="B156" s="4" t="s">
        <v>77</v>
      </c>
      <c r="C156" s="4" t="s">
        <v>79</v>
      </c>
      <c r="D156" s="4" t="s">
        <v>87</v>
      </c>
      <c r="E156" s="4" t="s">
        <v>122</v>
      </c>
      <c r="F156" s="4">
        <v>1</v>
      </c>
      <c r="G156" s="6">
        <f>IF('评分录入'!M29="纳入",1,0)</f>
        <v>0</v>
      </c>
      <c r="H156" s="6">
        <f>IF(ISNUMBER('评分录入'!AD29),1,0)</f>
        <v>0</v>
      </c>
      <c r="I156" s="6">
        <f>IF(AND(ISNUMBER('评分录入'!AD29),'评分录入'!AD29=1),1,0)</f>
        <v>0</v>
      </c>
      <c r="J156" s="6">
        <f>IF(AND(ISNUMBER('评分录入'!AD29),'评分录入'!AD29=0.5),1,0)</f>
        <v>0</v>
      </c>
      <c r="K156" s="6">
        <f>IF(AND(ISNUMBER('评分录入'!AD29),'评分录入'!AD29=0),1,0)</f>
        <v>0</v>
      </c>
      <c r="L156" s="6">
        <f>G156-H156</f>
        <v>0</v>
      </c>
      <c r="M156" s="7">
        <f>IF(H156=0,"",(I156+J156*0.5)/H156)</f>
        <v/>
      </c>
    </row>
    <row r="157" spans="1:13" ht="28" customHeight="1">
      <c r="A157" s="4" t="s">
        <v>72</v>
      </c>
      <c r="B157" s="4" t="s">
        <v>77</v>
      </c>
      <c r="C157" s="4" t="s">
        <v>74</v>
      </c>
      <c r="D157" s="4" t="s">
        <v>89</v>
      </c>
      <c r="E157" s="4" t="s">
        <v>117</v>
      </c>
      <c r="F157" s="4">
        <v>1</v>
      </c>
      <c r="G157" s="6">
        <f>IF('评分录入'!M47="纳入",1,0)</f>
        <v>0</v>
      </c>
      <c r="H157" s="6">
        <f>IF(ISNUMBER('评分录入'!T47),1,0)</f>
        <v>0</v>
      </c>
      <c r="I157" s="6">
        <f>IF(AND(ISNUMBER('评分录入'!T47),'评分录入'!T47=1),1,0)</f>
        <v>0</v>
      </c>
      <c r="J157" s="6">
        <f>IF(AND(ISNUMBER('评分录入'!T47),'评分录入'!T47=0.5),1,0)</f>
        <v>0</v>
      </c>
      <c r="K157" s="6">
        <f>IF(AND(ISNUMBER('评分录入'!T47),'评分录入'!T47=0),1,0)</f>
        <v>0</v>
      </c>
      <c r="L157" s="6">
        <f>G157-H157</f>
        <v>0</v>
      </c>
      <c r="M157" s="7">
        <f>IF(H157=0,"",(I157+J157*0.5)/H157)</f>
        <v/>
      </c>
    </row>
    <row r="158" spans="1:13" ht="28" customHeight="1">
      <c r="A158" s="4" t="s">
        <v>72</v>
      </c>
      <c r="B158" s="4" t="s">
        <v>77</v>
      </c>
      <c r="C158" s="4" t="s">
        <v>74</v>
      </c>
      <c r="D158" s="4" t="s">
        <v>89</v>
      </c>
      <c r="E158" s="4" t="s">
        <v>118</v>
      </c>
      <c r="F158" s="4">
        <v>1</v>
      </c>
      <c r="G158" s="6">
        <f>IF('评分录入'!M47="纳入",1,0)</f>
        <v>0</v>
      </c>
      <c r="H158" s="6">
        <f>IF(ISNUMBER('评分录入'!Z47),1,0)</f>
        <v>0</v>
      </c>
      <c r="I158" s="6">
        <f>IF(AND(ISNUMBER('评分录入'!Z47),'评分录入'!Z47=1),1,0)</f>
        <v>0</v>
      </c>
      <c r="J158" s="6">
        <f>IF(AND(ISNUMBER('评分录入'!Z47),'评分录入'!Z47=0.5),1,0)</f>
        <v>0</v>
      </c>
      <c r="K158" s="6">
        <f>IF(AND(ISNUMBER('评分录入'!Z47),'评分录入'!Z47=0),1,0)</f>
        <v>0</v>
      </c>
      <c r="L158" s="6">
        <f>G158-H158</f>
        <v>0</v>
      </c>
      <c r="M158" s="7">
        <f>IF(H158=0,"",(I158+J158*0.5)/H158)</f>
        <v/>
      </c>
    </row>
    <row r="159" spans="1:13" ht="28" customHeight="1">
      <c r="A159" s="4" t="s">
        <v>72</v>
      </c>
      <c r="B159" s="4" t="s">
        <v>77</v>
      </c>
      <c r="C159" s="4" t="s">
        <v>74</v>
      </c>
      <c r="D159" s="4" t="s">
        <v>89</v>
      </c>
      <c r="E159" s="4" t="s">
        <v>119</v>
      </c>
      <c r="F159" s="4">
        <v>1</v>
      </c>
      <c r="G159" s="6">
        <f>IF('评分录入'!M47="纳入",1,0)</f>
        <v>0</v>
      </c>
      <c r="H159" s="6">
        <f>IF(ISNUMBER('评分录入'!AA47),1,0)</f>
        <v>0</v>
      </c>
      <c r="I159" s="6">
        <f>IF(AND(ISNUMBER('评分录入'!AA47),'评分录入'!AA47=1),1,0)</f>
        <v>0</v>
      </c>
      <c r="J159" s="6">
        <f>IF(AND(ISNUMBER('评分录入'!AA47),'评分录入'!AA47=0.5),1,0)</f>
        <v>0</v>
      </c>
      <c r="K159" s="6">
        <f>IF(AND(ISNUMBER('评分录入'!AA47),'评分录入'!AA47=0),1,0)</f>
        <v>0</v>
      </c>
      <c r="L159" s="6">
        <f>G159-H159</f>
        <v>0</v>
      </c>
      <c r="M159" s="7">
        <f>IF(H159=0,"",(I159+J159*0.5)/H159)</f>
        <v/>
      </c>
    </row>
    <row r="160" spans="1:13" ht="28" customHeight="1">
      <c r="A160" s="4" t="s">
        <v>72</v>
      </c>
      <c r="B160" s="4" t="s">
        <v>77</v>
      </c>
      <c r="C160" s="4" t="s">
        <v>74</v>
      </c>
      <c r="D160" s="4" t="s">
        <v>89</v>
      </c>
      <c r="E160" s="4" t="s">
        <v>120</v>
      </c>
      <c r="F160" s="4">
        <v>1</v>
      </c>
      <c r="G160" s="6">
        <f>IF('评分录入'!M47="纳入",1,0)</f>
        <v>0</v>
      </c>
      <c r="H160" s="6">
        <f>IF(ISNUMBER('评分录入'!AB47),1,0)</f>
        <v>0</v>
      </c>
      <c r="I160" s="6">
        <f>IF(AND(ISNUMBER('评分录入'!AB47),'评分录入'!AB47=1),1,0)</f>
        <v>0</v>
      </c>
      <c r="J160" s="6">
        <f>IF(AND(ISNUMBER('评分录入'!AB47),'评分录入'!AB47=0.5),1,0)</f>
        <v>0</v>
      </c>
      <c r="K160" s="6">
        <f>IF(AND(ISNUMBER('评分录入'!AB47),'评分录入'!AB47=0),1,0)</f>
        <v>0</v>
      </c>
      <c r="L160" s="6">
        <f>G160-H160</f>
        <v>0</v>
      </c>
      <c r="M160" s="7">
        <f>IF(H160=0,"",(I160+J160*0.5)/H160)</f>
        <v/>
      </c>
    </row>
    <row r="161" spans="1:13" ht="28" customHeight="1">
      <c r="A161" s="4" t="s">
        <v>72</v>
      </c>
      <c r="B161" s="4" t="s">
        <v>77</v>
      </c>
      <c r="C161" s="4" t="s">
        <v>74</v>
      </c>
      <c r="D161" s="4" t="s">
        <v>89</v>
      </c>
      <c r="E161" s="4" t="s">
        <v>121</v>
      </c>
      <c r="F161" s="4">
        <v>1</v>
      </c>
      <c r="G161" s="6">
        <f>IF('评分录入'!M47="纳入",1,0)</f>
        <v>0</v>
      </c>
      <c r="H161" s="6">
        <f>IF(ISNUMBER('评分录入'!AC47),1,0)</f>
        <v>0</v>
      </c>
      <c r="I161" s="6">
        <f>IF(AND(ISNUMBER('评分录入'!AC47),'评分录入'!AC47=1),1,0)</f>
        <v>0</v>
      </c>
      <c r="J161" s="6">
        <f>IF(AND(ISNUMBER('评分录入'!AC47),'评分录入'!AC47=0.5),1,0)</f>
        <v>0</v>
      </c>
      <c r="K161" s="6">
        <f>IF(AND(ISNUMBER('评分录入'!AC47),'评分录入'!AC47=0),1,0)</f>
        <v>0</v>
      </c>
      <c r="L161" s="6">
        <f>G161-H161</f>
        <v>0</v>
      </c>
      <c r="M161" s="7">
        <f>IF(H161=0,"",(I161+J161*0.5)/H161)</f>
        <v/>
      </c>
    </row>
    <row r="162" spans="1:13" ht="28" customHeight="1">
      <c r="A162" s="4" t="s">
        <v>72</v>
      </c>
      <c r="B162" s="4" t="s">
        <v>77</v>
      </c>
      <c r="C162" s="4" t="s">
        <v>74</v>
      </c>
      <c r="D162" s="4" t="s">
        <v>89</v>
      </c>
      <c r="E162" s="4" t="s">
        <v>122</v>
      </c>
      <c r="F162" s="4">
        <v>1</v>
      </c>
      <c r="G162" s="6">
        <f>IF('评分录入'!M47="纳入",1,0)</f>
        <v>0</v>
      </c>
      <c r="H162" s="6">
        <f>IF(ISNUMBER('评分录入'!AD47),1,0)</f>
        <v>0</v>
      </c>
      <c r="I162" s="6">
        <f>IF(AND(ISNUMBER('评分录入'!AD47),'评分录入'!AD47=1),1,0)</f>
        <v>0</v>
      </c>
      <c r="J162" s="6">
        <f>IF(AND(ISNUMBER('评分录入'!AD47),'评分录入'!AD47=0.5),1,0)</f>
        <v>0</v>
      </c>
      <c r="K162" s="6">
        <f>IF(AND(ISNUMBER('评分录入'!AD47),'评分录入'!AD47=0),1,0)</f>
        <v>0</v>
      </c>
      <c r="L162" s="6">
        <f>G162-H162</f>
        <v>0</v>
      </c>
      <c r="M162" s="7">
        <f>IF(H162=0,"",(I162+J162*0.5)/H162)</f>
        <v/>
      </c>
    </row>
    <row r="163" spans="1:13" ht="28" customHeight="1">
      <c r="A163" s="4" t="s">
        <v>72</v>
      </c>
      <c r="B163" s="4" t="s">
        <v>77</v>
      </c>
      <c r="C163" s="4" t="s">
        <v>79</v>
      </c>
      <c r="D163" s="4" t="s">
        <v>94</v>
      </c>
      <c r="E163" s="4" t="s">
        <v>117</v>
      </c>
      <c r="F163" s="4">
        <v>1</v>
      </c>
      <c r="G163" s="6">
        <f>IF('评分录入'!M38="纳入",1,0)</f>
        <v>0</v>
      </c>
      <c r="H163" s="6">
        <f>IF(ISNUMBER('评分录入'!T38),1,0)</f>
        <v>0</v>
      </c>
      <c r="I163" s="6">
        <f>IF(AND(ISNUMBER('评分录入'!T38),'评分录入'!T38=1),1,0)</f>
        <v>0</v>
      </c>
      <c r="J163" s="6">
        <f>IF(AND(ISNUMBER('评分录入'!T38),'评分录入'!T38=0.5),1,0)</f>
        <v>0</v>
      </c>
      <c r="K163" s="6">
        <f>IF(AND(ISNUMBER('评分录入'!T38),'评分录入'!T38=0),1,0)</f>
        <v>0</v>
      </c>
      <c r="L163" s="6">
        <f>G163-H163</f>
        <v>0</v>
      </c>
      <c r="M163" s="7">
        <f>IF(H163=0,"",(I163+J163*0.5)/H163)</f>
        <v/>
      </c>
    </row>
    <row r="164" spans="1:13" ht="28" customHeight="1">
      <c r="A164" s="4" t="s">
        <v>72</v>
      </c>
      <c r="B164" s="4" t="s">
        <v>77</v>
      </c>
      <c r="C164" s="4" t="s">
        <v>79</v>
      </c>
      <c r="D164" s="4" t="s">
        <v>94</v>
      </c>
      <c r="E164" s="4" t="s">
        <v>118</v>
      </c>
      <c r="F164" s="4">
        <v>1</v>
      </c>
      <c r="G164" s="6">
        <f>IF('评分录入'!M38="纳入",1,0)</f>
        <v>0</v>
      </c>
      <c r="H164" s="6">
        <f>IF(ISNUMBER('评分录入'!Z38),1,0)</f>
        <v>0</v>
      </c>
      <c r="I164" s="6">
        <f>IF(AND(ISNUMBER('评分录入'!Z38),'评分录入'!Z38=1),1,0)</f>
        <v>0</v>
      </c>
      <c r="J164" s="6">
        <f>IF(AND(ISNUMBER('评分录入'!Z38),'评分录入'!Z38=0.5),1,0)</f>
        <v>0</v>
      </c>
      <c r="K164" s="6">
        <f>IF(AND(ISNUMBER('评分录入'!Z38),'评分录入'!Z38=0),1,0)</f>
        <v>0</v>
      </c>
      <c r="L164" s="6">
        <f>G164-H164</f>
        <v>0</v>
      </c>
      <c r="M164" s="7">
        <f>IF(H164=0,"",(I164+J164*0.5)/H164)</f>
        <v/>
      </c>
    </row>
    <row r="165" spans="1:13" ht="28" customHeight="1">
      <c r="A165" s="4" t="s">
        <v>72</v>
      </c>
      <c r="B165" s="4" t="s">
        <v>77</v>
      </c>
      <c r="C165" s="4" t="s">
        <v>79</v>
      </c>
      <c r="D165" s="4" t="s">
        <v>94</v>
      </c>
      <c r="E165" s="4" t="s">
        <v>119</v>
      </c>
      <c r="F165" s="4">
        <v>1</v>
      </c>
      <c r="G165" s="6">
        <f>IF('评分录入'!M38="纳入",1,0)</f>
        <v>0</v>
      </c>
      <c r="H165" s="6">
        <f>IF(ISNUMBER('评分录入'!AA38),1,0)</f>
        <v>0</v>
      </c>
      <c r="I165" s="6">
        <f>IF(AND(ISNUMBER('评分录入'!AA38),'评分录入'!AA38=1),1,0)</f>
        <v>0</v>
      </c>
      <c r="J165" s="6">
        <f>IF(AND(ISNUMBER('评分录入'!AA38),'评分录入'!AA38=0.5),1,0)</f>
        <v>0</v>
      </c>
      <c r="K165" s="6">
        <f>IF(AND(ISNUMBER('评分录入'!AA38),'评分录入'!AA38=0),1,0)</f>
        <v>0</v>
      </c>
      <c r="L165" s="6">
        <f>G165-H165</f>
        <v>0</v>
      </c>
      <c r="M165" s="7">
        <f>IF(H165=0,"",(I165+J165*0.5)/H165)</f>
        <v/>
      </c>
    </row>
    <row r="166" spans="1:13" ht="28" customHeight="1">
      <c r="A166" s="4" t="s">
        <v>72</v>
      </c>
      <c r="B166" s="4" t="s">
        <v>77</v>
      </c>
      <c r="C166" s="4" t="s">
        <v>79</v>
      </c>
      <c r="D166" s="4" t="s">
        <v>94</v>
      </c>
      <c r="E166" s="4" t="s">
        <v>120</v>
      </c>
      <c r="F166" s="4">
        <v>1</v>
      </c>
      <c r="G166" s="6">
        <f>IF('评分录入'!M38="纳入",1,0)</f>
        <v>0</v>
      </c>
      <c r="H166" s="6">
        <f>IF(ISNUMBER('评分录入'!AB38),1,0)</f>
        <v>0</v>
      </c>
      <c r="I166" s="6">
        <f>IF(AND(ISNUMBER('评分录入'!AB38),'评分录入'!AB38=1),1,0)</f>
        <v>0</v>
      </c>
      <c r="J166" s="6">
        <f>IF(AND(ISNUMBER('评分录入'!AB38),'评分录入'!AB38=0.5),1,0)</f>
        <v>0</v>
      </c>
      <c r="K166" s="6">
        <f>IF(AND(ISNUMBER('评分录入'!AB38),'评分录入'!AB38=0),1,0)</f>
        <v>0</v>
      </c>
      <c r="L166" s="6">
        <f>G166-H166</f>
        <v>0</v>
      </c>
      <c r="M166" s="7">
        <f>IF(H166=0,"",(I166+J166*0.5)/H166)</f>
        <v/>
      </c>
    </row>
    <row r="167" spans="1:13" ht="28" customHeight="1">
      <c r="A167" s="4" t="s">
        <v>72</v>
      </c>
      <c r="B167" s="4" t="s">
        <v>77</v>
      </c>
      <c r="C167" s="4" t="s">
        <v>79</v>
      </c>
      <c r="D167" s="4" t="s">
        <v>94</v>
      </c>
      <c r="E167" s="4" t="s">
        <v>121</v>
      </c>
      <c r="F167" s="4">
        <v>1</v>
      </c>
      <c r="G167" s="6">
        <f>IF('评分录入'!M38="纳入",1,0)</f>
        <v>0</v>
      </c>
      <c r="H167" s="6">
        <f>IF(ISNUMBER('评分录入'!AC38),1,0)</f>
        <v>0</v>
      </c>
      <c r="I167" s="6">
        <f>IF(AND(ISNUMBER('评分录入'!AC38),'评分录入'!AC38=1),1,0)</f>
        <v>0</v>
      </c>
      <c r="J167" s="6">
        <f>IF(AND(ISNUMBER('评分录入'!AC38),'评分录入'!AC38=0.5),1,0)</f>
        <v>0</v>
      </c>
      <c r="K167" s="6">
        <f>IF(AND(ISNUMBER('评分录入'!AC38),'评分录入'!AC38=0),1,0)</f>
        <v>0</v>
      </c>
      <c r="L167" s="6">
        <f>G167-H167</f>
        <v>0</v>
      </c>
      <c r="M167" s="7">
        <f>IF(H167=0,"",(I167+J167*0.5)/H167)</f>
        <v/>
      </c>
    </row>
    <row r="168" spans="1:13" ht="28" customHeight="1">
      <c r="A168" s="4" t="s">
        <v>72</v>
      </c>
      <c r="B168" s="4" t="s">
        <v>77</v>
      </c>
      <c r="C168" s="4" t="s">
        <v>79</v>
      </c>
      <c r="D168" s="4" t="s">
        <v>94</v>
      </c>
      <c r="E168" s="4" t="s">
        <v>122</v>
      </c>
      <c r="F168" s="4">
        <v>1</v>
      </c>
      <c r="G168" s="6">
        <f>IF('评分录入'!M38="纳入",1,0)</f>
        <v>0</v>
      </c>
      <c r="H168" s="6">
        <f>IF(ISNUMBER('评分录入'!AD38),1,0)</f>
        <v>0</v>
      </c>
      <c r="I168" s="6">
        <f>IF(AND(ISNUMBER('评分录入'!AD38),'评分录入'!AD38=1),1,0)</f>
        <v>0</v>
      </c>
      <c r="J168" s="6">
        <f>IF(AND(ISNUMBER('评分录入'!AD38),'评分录入'!AD38=0.5),1,0)</f>
        <v>0</v>
      </c>
      <c r="K168" s="6">
        <f>IF(AND(ISNUMBER('评分录入'!AD38),'评分录入'!AD38=0),1,0)</f>
        <v>0</v>
      </c>
      <c r="L168" s="6">
        <f>G168-H168</f>
        <v>0</v>
      </c>
      <c r="M168" s="7">
        <f>IF(H168=0,"",(I168+J168*0.5)/H168)</f>
        <v/>
      </c>
    </row>
    <row r="169" spans="1:13" ht="28" customHeight="1">
      <c r="A169" s="4" t="s">
        <v>72</v>
      </c>
      <c r="B169" s="4" t="s">
        <v>77</v>
      </c>
      <c r="C169" s="4" t="s">
        <v>78</v>
      </c>
      <c r="D169" s="4" t="s">
        <v>87</v>
      </c>
      <c r="E169" s="4" t="s">
        <v>117</v>
      </c>
      <c r="F169" s="4">
        <v>1</v>
      </c>
      <c r="G169" s="6">
        <f>IF('评分录入'!M44="纳入",1,0)</f>
        <v>0</v>
      </c>
      <c r="H169" s="6">
        <f>IF(ISNUMBER('评分录入'!T44),1,0)</f>
        <v>0</v>
      </c>
      <c r="I169" s="6">
        <f>IF(AND(ISNUMBER('评分录入'!T44),'评分录入'!T44=1),1,0)</f>
        <v>0</v>
      </c>
      <c r="J169" s="6">
        <f>IF(AND(ISNUMBER('评分录入'!T44),'评分录入'!T44=0.5),1,0)</f>
        <v>0</v>
      </c>
      <c r="K169" s="6">
        <f>IF(AND(ISNUMBER('评分录入'!T44),'评分录入'!T44=0),1,0)</f>
        <v>0</v>
      </c>
      <c r="L169" s="6">
        <f>G169-H169</f>
        <v>0</v>
      </c>
      <c r="M169" s="7">
        <f>IF(H169=0,"",(I169+J169*0.5)/H169)</f>
        <v/>
      </c>
    </row>
    <row r="170" spans="1:13" ht="28" customHeight="1">
      <c r="A170" s="4" t="s">
        <v>72</v>
      </c>
      <c r="B170" s="4" t="s">
        <v>77</v>
      </c>
      <c r="C170" s="4" t="s">
        <v>78</v>
      </c>
      <c r="D170" s="4" t="s">
        <v>87</v>
      </c>
      <c r="E170" s="4" t="s">
        <v>118</v>
      </c>
      <c r="F170" s="4">
        <v>1</v>
      </c>
      <c r="G170" s="6">
        <f>IF('评分录入'!M44="纳入",1,0)</f>
        <v>0</v>
      </c>
      <c r="H170" s="6">
        <f>IF(ISNUMBER('评分录入'!Z44),1,0)</f>
        <v>0</v>
      </c>
      <c r="I170" s="6">
        <f>IF(AND(ISNUMBER('评分录入'!Z44),'评分录入'!Z44=1),1,0)</f>
        <v>0</v>
      </c>
      <c r="J170" s="6">
        <f>IF(AND(ISNUMBER('评分录入'!Z44),'评分录入'!Z44=0.5),1,0)</f>
        <v>0</v>
      </c>
      <c r="K170" s="6">
        <f>IF(AND(ISNUMBER('评分录入'!Z44),'评分录入'!Z44=0),1,0)</f>
        <v>0</v>
      </c>
      <c r="L170" s="6">
        <f>G170-H170</f>
        <v>0</v>
      </c>
      <c r="M170" s="7">
        <f>IF(H170=0,"",(I170+J170*0.5)/H170)</f>
        <v/>
      </c>
    </row>
    <row r="171" spans="1:13" ht="28" customHeight="1">
      <c r="A171" s="4" t="s">
        <v>72</v>
      </c>
      <c r="B171" s="4" t="s">
        <v>77</v>
      </c>
      <c r="C171" s="4" t="s">
        <v>78</v>
      </c>
      <c r="D171" s="4" t="s">
        <v>87</v>
      </c>
      <c r="E171" s="4" t="s">
        <v>119</v>
      </c>
      <c r="F171" s="4">
        <v>1</v>
      </c>
      <c r="G171" s="6">
        <f>IF('评分录入'!M44="纳入",1,0)</f>
        <v>0</v>
      </c>
      <c r="H171" s="6">
        <f>IF(ISNUMBER('评分录入'!AA44),1,0)</f>
        <v>0</v>
      </c>
      <c r="I171" s="6">
        <f>IF(AND(ISNUMBER('评分录入'!AA44),'评分录入'!AA44=1),1,0)</f>
        <v>0</v>
      </c>
      <c r="J171" s="6">
        <f>IF(AND(ISNUMBER('评分录入'!AA44),'评分录入'!AA44=0.5),1,0)</f>
        <v>0</v>
      </c>
      <c r="K171" s="6">
        <f>IF(AND(ISNUMBER('评分录入'!AA44),'评分录入'!AA44=0),1,0)</f>
        <v>0</v>
      </c>
      <c r="L171" s="6">
        <f>G171-H171</f>
        <v>0</v>
      </c>
      <c r="M171" s="7">
        <f>IF(H171=0,"",(I171+J171*0.5)/H171)</f>
        <v/>
      </c>
    </row>
    <row r="172" spans="1:13" ht="28" customHeight="1">
      <c r="A172" s="4" t="s">
        <v>72</v>
      </c>
      <c r="B172" s="4" t="s">
        <v>77</v>
      </c>
      <c r="C172" s="4" t="s">
        <v>78</v>
      </c>
      <c r="D172" s="4" t="s">
        <v>87</v>
      </c>
      <c r="E172" s="4" t="s">
        <v>120</v>
      </c>
      <c r="F172" s="4">
        <v>1</v>
      </c>
      <c r="G172" s="6">
        <f>IF('评分录入'!M44="纳入",1,0)</f>
        <v>0</v>
      </c>
      <c r="H172" s="6">
        <f>IF(ISNUMBER('评分录入'!AB44),1,0)</f>
        <v>0</v>
      </c>
      <c r="I172" s="6">
        <f>IF(AND(ISNUMBER('评分录入'!AB44),'评分录入'!AB44=1),1,0)</f>
        <v>0</v>
      </c>
      <c r="J172" s="6">
        <f>IF(AND(ISNUMBER('评分录入'!AB44),'评分录入'!AB44=0.5),1,0)</f>
        <v>0</v>
      </c>
      <c r="K172" s="6">
        <f>IF(AND(ISNUMBER('评分录入'!AB44),'评分录入'!AB44=0),1,0)</f>
        <v>0</v>
      </c>
      <c r="L172" s="6">
        <f>G172-H172</f>
        <v>0</v>
      </c>
      <c r="M172" s="7">
        <f>IF(H172=0,"",(I172+J172*0.5)/H172)</f>
        <v/>
      </c>
    </row>
    <row r="173" spans="1:13" ht="28" customHeight="1">
      <c r="A173" s="4" t="s">
        <v>72</v>
      </c>
      <c r="B173" s="4" t="s">
        <v>77</v>
      </c>
      <c r="C173" s="4" t="s">
        <v>78</v>
      </c>
      <c r="D173" s="4" t="s">
        <v>87</v>
      </c>
      <c r="E173" s="4" t="s">
        <v>121</v>
      </c>
      <c r="F173" s="4">
        <v>1</v>
      </c>
      <c r="G173" s="6">
        <f>IF('评分录入'!M44="纳入",1,0)</f>
        <v>0</v>
      </c>
      <c r="H173" s="6">
        <f>IF(ISNUMBER('评分录入'!AC44),1,0)</f>
        <v>0</v>
      </c>
      <c r="I173" s="6">
        <f>IF(AND(ISNUMBER('评分录入'!AC44),'评分录入'!AC44=1),1,0)</f>
        <v>0</v>
      </c>
      <c r="J173" s="6">
        <f>IF(AND(ISNUMBER('评分录入'!AC44),'评分录入'!AC44=0.5),1,0)</f>
        <v>0</v>
      </c>
      <c r="K173" s="6">
        <f>IF(AND(ISNUMBER('评分录入'!AC44),'评分录入'!AC44=0),1,0)</f>
        <v>0</v>
      </c>
      <c r="L173" s="6">
        <f>G173-H173</f>
        <v>0</v>
      </c>
      <c r="M173" s="7">
        <f>IF(H173=0,"",(I173+J173*0.5)/H173)</f>
        <v/>
      </c>
    </row>
    <row r="174" spans="1:13" ht="28" customHeight="1">
      <c r="A174" s="4" t="s">
        <v>72</v>
      </c>
      <c r="B174" s="4" t="s">
        <v>77</v>
      </c>
      <c r="C174" s="4" t="s">
        <v>78</v>
      </c>
      <c r="D174" s="4" t="s">
        <v>87</v>
      </c>
      <c r="E174" s="4" t="s">
        <v>122</v>
      </c>
      <c r="F174" s="4">
        <v>1</v>
      </c>
      <c r="G174" s="6">
        <f>IF('评分录入'!M44="纳入",1,0)</f>
        <v>0</v>
      </c>
      <c r="H174" s="6">
        <f>IF(ISNUMBER('评分录入'!AD44),1,0)</f>
        <v>0</v>
      </c>
      <c r="I174" s="6">
        <f>IF(AND(ISNUMBER('评分录入'!AD44),'评分录入'!AD44=1),1,0)</f>
        <v>0</v>
      </c>
      <c r="J174" s="6">
        <f>IF(AND(ISNUMBER('评分录入'!AD44),'评分录入'!AD44=0.5),1,0)</f>
        <v>0</v>
      </c>
      <c r="K174" s="6">
        <f>IF(AND(ISNUMBER('评分录入'!AD44),'评分录入'!AD44=0),1,0)</f>
        <v>0</v>
      </c>
      <c r="L174" s="6">
        <f>G174-H174</f>
        <v>0</v>
      </c>
      <c r="M174" s="7">
        <f>IF(H174=0,"",(I174+J174*0.5)/H174)</f>
        <v/>
      </c>
    </row>
    <row r="175" spans="1:13" ht="28" customHeight="1">
      <c r="A175" s="4" t="s">
        <v>72</v>
      </c>
      <c r="B175" s="4" t="s">
        <v>77</v>
      </c>
      <c r="C175" s="4" t="s">
        <v>87</v>
      </c>
      <c r="D175" s="4" t="s">
        <v>89</v>
      </c>
      <c r="E175" s="4" t="s">
        <v>117</v>
      </c>
      <c r="F175" s="4">
        <v>1</v>
      </c>
      <c r="G175" s="6">
        <f>IF('评分录入'!M42="纳入",1,0)</f>
        <v>0</v>
      </c>
      <c r="H175" s="6">
        <f>IF(ISNUMBER('评分录入'!T42),1,0)</f>
        <v>0</v>
      </c>
      <c r="I175" s="6">
        <f>IF(AND(ISNUMBER('评分录入'!T42),'评分录入'!T42=1),1,0)</f>
        <v>0</v>
      </c>
      <c r="J175" s="6">
        <f>IF(AND(ISNUMBER('评分录入'!T42),'评分录入'!T42=0.5),1,0)</f>
        <v>0</v>
      </c>
      <c r="K175" s="6">
        <f>IF(AND(ISNUMBER('评分录入'!T42),'评分录入'!T42=0),1,0)</f>
        <v>0</v>
      </c>
      <c r="L175" s="6">
        <f>G175-H175</f>
        <v>0</v>
      </c>
      <c r="M175" s="7">
        <f>IF(H175=0,"",(I175+J175*0.5)/H175)</f>
        <v/>
      </c>
    </row>
    <row r="176" spans="1:13" ht="28" customHeight="1">
      <c r="A176" s="4" t="s">
        <v>72</v>
      </c>
      <c r="B176" s="4" t="s">
        <v>77</v>
      </c>
      <c r="C176" s="4" t="s">
        <v>87</v>
      </c>
      <c r="D176" s="4" t="s">
        <v>89</v>
      </c>
      <c r="E176" s="4" t="s">
        <v>118</v>
      </c>
      <c r="F176" s="4">
        <v>1</v>
      </c>
      <c r="G176" s="6">
        <f>IF('评分录入'!M42="纳入",1,0)</f>
        <v>0</v>
      </c>
      <c r="H176" s="6">
        <f>IF(ISNUMBER('评分录入'!Z42),1,0)</f>
        <v>0</v>
      </c>
      <c r="I176" s="6">
        <f>IF(AND(ISNUMBER('评分录入'!Z42),'评分录入'!Z42=1),1,0)</f>
        <v>0</v>
      </c>
      <c r="J176" s="6">
        <f>IF(AND(ISNUMBER('评分录入'!Z42),'评分录入'!Z42=0.5),1,0)</f>
        <v>0</v>
      </c>
      <c r="K176" s="6">
        <f>IF(AND(ISNUMBER('评分录入'!Z42),'评分录入'!Z42=0),1,0)</f>
        <v>0</v>
      </c>
      <c r="L176" s="6">
        <f>G176-H176</f>
        <v>0</v>
      </c>
      <c r="M176" s="7">
        <f>IF(H176=0,"",(I176+J176*0.5)/H176)</f>
        <v/>
      </c>
    </row>
    <row r="177" spans="1:13" ht="28" customHeight="1">
      <c r="A177" s="4" t="s">
        <v>72</v>
      </c>
      <c r="B177" s="4" t="s">
        <v>77</v>
      </c>
      <c r="C177" s="4" t="s">
        <v>87</v>
      </c>
      <c r="D177" s="4" t="s">
        <v>89</v>
      </c>
      <c r="E177" s="4" t="s">
        <v>119</v>
      </c>
      <c r="F177" s="4">
        <v>1</v>
      </c>
      <c r="G177" s="6">
        <f>IF('评分录入'!M42="纳入",1,0)</f>
        <v>0</v>
      </c>
      <c r="H177" s="6">
        <f>IF(ISNUMBER('评分录入'!AA42),1,0)</f>
        <v>0</v>
      </c>
      <c r="I177" s="6">
        <f>IF(AND(ISNUMBER('评分录入'!AA42),'评分录入'!AA42=1),1,0)</f>
        <v>0</v>
      </c>
      <c r="J177" s="6">
        <f>IF(AND(ISNUMBER('评分录入'!AA42),'评分录入'!AA42=0.5),1,0)</f>
        <v>0</v>
      </c>
      <c r="K177" s="6">
        <f>IF(AND(ISNUMBER('评分录入'!AA42),'评分录入'!AA42=0),1,0)</f>
        <v>0</v>
      </c>
      <c r="L177" s="6">
        <f>G177-H177</f>
        <v>0</v>
      </c>
      <c r="M177" s="7">
        <f>IF(H177=0,"",(I177+J177*0.5)/H177)</f>
        <v/>
      </c>
    </row>
    <row r="178" spans="1:13" ht="28" customHeight="1">
      <c r="A178" s="4" t="s">
        <v>72</v>
      </c>
      <c r="B178" s="4" t="s">
        <v>77</v>
      </c>
      <c r="C178" s="4" t="s">
        <v>87</v>
      </c>
      <c r="D178" s="4" t="s">
        <v>89</v>
      </c>
      <c r="E178" s="4" t="s">
        <v>120</v>
      </c>
      <c r="F178" s="4">
        <v>1</v>
      </c>
      <c r="G178" s="6">
        <f>IF('评分录入'!M42="纳入",1,0)</f>
        <v>0</v>
      </c>
      <c r="H178" s="6">
        <f>IF(ISNUMBER('评分录入'!AB42),1,0)</f>
        <v>0</v>
      </c>
      <c r="I178" s="6">
        <f>IF(AND(ISNUMBER('评分录入'!AB42),'评分录入'!AB42=1),1,0)</f>
        <v>0</v>
      </c>
      <c r="J178" s="6">
        <f>IF(AND(ISNUMBER('评分录入'!AB42),'评分录入'!AB42=0.5),1,0)</f>
        <v>0</v>
      </c>
      <c r="K178" s="6">
        <f>IF(AND(ISNUMBER('评分录入'!AB42),'评分录入'!AB42=0),1,0)</f>
        <v>0</v>
      </c>
      <c r="L178" s="6">
        <f>G178-H178</f>
        <v>0</v>
      </c>
      <c r="M178" s="7">
        <f>IF(H178=0,"",(I178+J178*0.5)/H178)</f>
        <v/>
      </c>
    </row>
    <row r="179" spans="1:13" ht="28" customHeight="1">
      <c r="A179" s="4" t="s">
        <v>72</v>
      </c>
      <c r="B179" s="4" t="s">
        <v>77</v>
      </c>
      <c r="C179" s="4" t="s">
        <v>87</v>
      </c>
      <c r="D179" s="4" t="s">
        <v>89</v>
      </c>
      <c r="E179" s="4" t="s">
        <v>121</v>
      </c>
      <c r="F179" s="4">
        <v>1</v>
      </c>
      <c r="G179" s="6">
        <f>IF('评分录入'!M42="纳入",1,0)</f>
        <v>0</v>
      </c>
      <c r="H179" s="6">
        <f>IF(ISNUMBER('评分录入'!AC42),1,0)</f>
        <v>0</v>
      </c>
      <c r="I179" s="6">
        <f>IF(AND(ISNUMBER('评分录入'!AC42),'评分录入'!AC42=1),1,0)</f>
        <v>0</v>
      </c>
      <c r="J179" s="6">
        <f>IF(AND(ISNUMBER('评分录入'!AC42),'评分录入'!AC42=0.5),1,0)</f>
        <v>0</v>
      </c>
      <c r="K179" s="6">
        <f>IF(AND(ISNUMBER('评分录入'!AC42),'评分录入'!AC42=0),1,0)</f>
        <v>0</v>
      </c>
      <c r="L179" s="6">
        <f>G179-H179</f>
        <v>0</v>
      </c>
      <c r="M179" s="7">
        <f>IF(H179=0,"",(I179+J179*0.5)/H179)</f>
        <v/>
      </c>
    </row>
    <row r="180" spans="1:13" ht="28" customHeight="1">
      <c r="A180" s="4" t="s">
        <v>72</v>
      </c>
      <c r="B180" s="4" t="s">
        <v>77</v>
      </c>
      <c r="C180" s="4" t="s">
        <v>87</v>
      </c>
      <c r="D180" s="4" t="s">
        <v>89</v>
      </c>
      <c r="E180" s="4" t="s">
        <v>122</v>
      </c>
      <c r="F180" s="4">
        <v>1</v>
      </c>
      <c r="G180" s="6">
        <f>IF('评分录入'!M42="纳入",1,0)</f>
        <v>0</v>
      </c>
      <c r="H180" s="6">
        <f>IF(ISNUMBER('评分录入'!AD42),1,0)</f>
        <v>0</v>
      </c>
      <c r="I180" s="6">
        <f>IF(AND(ISNUMBER('评分录入'!AD42),'评分录入'!AD42=1),1,0)</f>
        <v>0</v>
      </c>
      <c r="J180" s="6">
        <f>IF(AND(ISNUMBER('评分录入'!AD42),'评分录入'!AD42=0.5),1,0)</f>
        <v>0</v>
      </c>
      <c r="K180" s="6">
        <f>IF(AND(ISNUMBER('评分录入'!AD42),'评分录入'!AD42=0),1,0)</f>
        <v>0</v>
      </c>
      <c r="L180" s="6">
        <f>G180-H180</f>
        <v>0</v>
      </c>
      <c r="M180" s="7">
        <f>IF(H180=0,"",(I180+J180*0.5)/H180)</f>
        <v/>
      </c>
    </row>
    <row r="181" spans="1:13" ht="28" customHeight="1">
      <c r="A181" s="4" t="s">
        <v>72</v>
      </c>
      <c r="B181" s="4" t="s">
        <v>77</v>
      </c>
      <c r="C181" s="4" t="s">
        <v>74</v>
      </c>
      <c r="D181" s="4" t="s">
        <v>94</v>
      </c>
      <c r="E181" s="4" t="s">
        <v>117</v>
      </c>
      <c r="F181" s="4">
        <v>1</v>
      </c>
      <c r="G181" s="6">
        <f>IF('评分录入'!M15="纳入",1,0)</f>
        <v>0</v>
      </c>
      <c r="H181" s="6">
        <f>IF(ISNUMBER('评分录入'!T15),1,0)</f>
        <v>0</v>
      </c>
      <c r="I181" s="6">
        <f>IF(AND(ISNUMBER('评分录入'!T15),'评分录入'!T15=1),1,0)</f>
        <v>0</v>
      </c>
      <c r="J181" s="6">
        <f>IF(AND(ISNUMBER('评分录入'!T15),'评分录入'!T15=0.5),1,0)</f>
        <v>0</v>
      </c>
      <c r="K181" s="6">
        <f>IF(AND(ISNUMBER('评分录入'!T15),'评分录入'!T15=0),1,0)</f>
        <v>0</v>
      </c>
      <c r="L181" s="6">
        <f>G181-H181</f>
        <v>0</v>
      </c>
      <c r="M181" s="7">
        <f>IF(H181=0,"",(I181+J181*0.5)/H181)</f>
        <v/>
      </c>
    </row>
    <row r="182" spans="1:13" ht="28" customHeight="1">
      <c r="A182" s="4" t="s">
        <v>72</v>
      </c>
      <c r="B182" s="4" t="s">
        <v>77</v>
      </c>
      <c r="C182" s="4" t="s">
        <v>74</v>
      </c>
      <c r="D182" s="4" t="s">
        <v>94</v>
      </c>
      <c r="E182" s="4" t="s">
        <v>118</v>
      </c>
      <c r="F182" s="4">
        <v>1</v>
      </c>
      <c r="G182" s="6">
        <f>IF('评分录入'!M15="纳入",1,0)</f>
        <v>0</v>
      </c>
      <c r="H182" s="6">
        <f>IF(ISNUMBER('评分录入'!Z15),1,0)</f>
        <v>0</v>
      </c>
      <c r="I182" s="6">
        <f>IF(AND(ISNUMBER('评分录入'!Z15),'评分录入'!Z15=1),1,0)</f>
        <v>0</v>
      </c>
      <c r="J182" s="6">
        <f>IF(AND(ISNUMBER('评分录入'!Z15),'评分录入'!Z15=0.5),1,0)</f>
        <v>0</v>
      </c>
      <c r="K182" s="6">
        <f>IF(AND(ISNUMBER('评分录入'!Z15),'评分录入'!Z15=0),1,0)</f>
        <v>0</v>
      </c>
      <c r="L182" s="6">
        <f>G182-H182</f>
        <v>0</v>
      </c>
      <c r="M182" s="7">
        <f>IF(H182=0,"",(I182+J182*0.5)/H182)</f>
        <v/>
      </c>
    </row>
    <row r="183" spans="1:13" ht="28" customHeight="1">
      <c r="A183" s="4" t="s">
        <v>72</v>
      </c>
      <c r="B183" s="4" t="s">
        <v>77</v>
      </c>
      <c r="C183" s="4" t="s">
        <v>74</v>
      </c>
      <c r="D183" s="4" t="s">
        <v>94</v>
      </c>
      <c r="E183" s="4" t="s">
        <v>119</v>
      </c>
      <c r="F183" s="4">
        <v>1</v>
      </c>
      <c r="G183" s="6">
        <f>IF('评分录入'!M15="纳入",1,0)</f>
        <v>0</v>
      </c>
      <c r="H183" s="6">
        <f>IF(ISNUMBER('评分录入'!AA15),1,0)</f>
        <v>0</v>
      </c>
      <c r="I183" s="6">
        <f>IF(AND(ISNUMBER('评分录入'!AA15),'评分录入'!AA15=1),1,0)</f>
        <v>0</v>
      </c>
      <c r="J183" s="6">
        <f>IF(AND(ISNUMBER('评分录入'!AA15),'评分录入'!AA15=0.5),1,0)</f>
        <v>0</v>
      </c>
      <c r="K183" s="6">
        <f>IF(AND(ISNUMBER('评分录入'!AA15),'评分录入'!AA15=0),1,0)</f>
        <v>0</v>
      </c>
      <c r="L183" s="6">
        <f>G183-H183</f>
        <v>0</v>
      </c>
      <c r="M183" s="7">
        <f>IF(H183=0,"",(I183+J183*0.5)/H183)</f>
        <v/>
      </c>
    </row>
    <row r="184" spans="1:13" ht="28" customHeight="1">
      <c r="A184" s="4" t="s">
        <v>72</v>
      </c>
      <c r="B184" s="4" t="s">
        <v>77</v>
      </c>
      <c r="C184" s="4" t="s">
        <v>74</v>
      </c>
      <c r="D184" s="4" t="s">
        <v>94</v>
      </c>
      <c r="E184" s="4" t="s">
        <v>120</v>
      </c>
      <c r="F184" s="4">
        <v>1</v>
      </c>
      <c r="G184" s="6">
        <f>IF('评分录入'!M15="纳入",1,0)</f>
        <v>0</v>
      </c>
      <c r="H184" s="6">
        <f>IF(ISNUMBER('评分录入'!AB15),1,0)</f>
        <v>0</v>
      </c>
      <c r="I184" s="6">
        <f>IF(AND(ISNUMBER('评分录入'!AB15),'评分录入'!AB15=1),1,0)</f>
        <v>0</v>
      </c>
      <c r="J184" s="6">
        <f>IF(AND(ISNUMBER('评分录入'!AB15),'评分录入'!AB15=0.5),1,0)</f>
        <v>0</v>
      </c>
      <c r="K184" s="6">
        <f>IF(AND(ISNUMBER('评分录入'!AB15),'评分录入'!AB15=0),1,0)</f>
        <v>0</v>
      </c>
      <c r="L184" s="6">
        <f>G184-H184</f>
        <v>0</v>
      </c>
      <c r="M184" s="7">
        <f>IF(H184=0,"",(I184+J184*0.5)/H184)</f>
        <v/>
      </c>
    </row>
    <row r="185" spans="1:13" ht="28" customHeight="1">
      <c r="A185" s="4" t="s">
        <v>72</v>
      </c>
      <c r="B185" s="4" t="s">
        <v>77</v>
      </c>
      <c r="C185" s="4" t="s">
        <v>74</v>
      </c>
      <c r="D185" s="4" t="s">
        <v>94</v>
      </c>
      <c r="E185" s="4" t="s">
        <v>121</v>
      </c>
      <c r="F185" s="4">
        <v>1</v>
      </c>
      <c r="G185" s="6">
        <f>IF('评分录入'!M15="纳入",1,0)</f>
        <v>0</v>
      </c>
      <c r="H185" s="6">
        <f>IF(ISNUMBER('评分录入'!AC15),1,0)</f>
        <v>0</v>
      </c>
      <c r="I185" s="6">
        <f>IF(AND(ISNUMBER('评分录入'!AC15),'评分录入'!AC15=1),1,0)</f>
        <v>0</v>
      </c>
      <c r="J185" s="6">
        <f>IF(AND(ISNUMBER('评分录入'!AC15),'评分录入'!AC15=0.5),1,0)</f>
        <v>0</v>
      </c>
      <c r="K185" s="6">
        <f>IF(AND(ISNUMBER('评分录入'!AC15),'评分录入'!AC15=0),1,0)</f>
        <v>0</v>
      </c>
      <c r="L185" s="6">
        <f>G185-H185</f>
        <v>0</v>
      </c>
      <c r="M185" s="7">
        <f>IF(H185=0,"",(I185+J185*0.5)/H185)</f>
        <v/>
      </c>
    </row>
    <row r="186" spans="1:13" ht="28" customHeight="1">
      <c r="A186" s="4" t="s">
        <v>72</v>
      </c>
      <c r="B186" s="4" t="s">
        <v>77</v>
      </c>
      <c r="C186" s="4" t="s">
        <v>74</v>
      </c>
      <c r="D186" s="4" t="s">
        <v>94</v>
      </c>
      <c r="E186" s="4" t="s">
        <v>122</v>
      </c>
      <c r="F186" s="4">
        <v>1</v>
      </c>
      <c r="G186" s="6">
        <f>IF('评分录入'!M15="纳入",1,0)</f>
        <v>0</v>
      </c>
      <c r="H186" s="6">
        <f>IF(ISNUMBER('评分录入'!AD15),1,0)</f>
        <v>0</v>
      </c>
      <c r="I186" s="6">
        <f>IF(AND(ISNUMBER('评分录入'!AD15),'评分录入'!AD15=1),1,0)</f>
        <v>0</v>
      </c>
      <c r="J186" s="6">
        <f>IF(AND(ISNUMBER('评分录入'!AD15),'评分录入'!AD15=0.5),1,0)</f>
        <v>0</v>
      </c>
      <c r="K186" s="6">
        <f>IF(AND(ISNUMBER('评分录入'!AD15),'评分录入'!AD15=0),1,0)</f>
        <v>0</v>
      </c>
      <c r="L186" s="6">
        <f>G186-H186</f>
        <v>0</v>
      </c>
      <c r="M186" s="7">
        <f>IF(H186=0,"",(I186+J186*0.5)/H186)</f>
        <v/>
      </c>
    </row>
    <row r="187" spans="1:13" ht="28" customHeight="1">
      <c r="A187" s="4" t="s">
        <v>72</v>
      </c>
      <c r="B187" s="4" t="s">
        <v>77</v>
      </c>
      <c r="C187" s="4" t="s">
        <v>79</v>
      </c>
      <c r="D187" s="4" t="s">
        <v>89</v>
      </c>
      <c r="E187" s="4" t="s">
        <v>117</v>
      </c>
      <c r="F187" s="4">
        <v>1</v>
      </c>
      <c r="G187" s="6">
        <f>IF('评分录入'!M11="纳入",1,0)</f>
        <v>0</v>
      </c>
      <c r="H187" s="6">
        <f>IF(ISNUMBER('评分录入'!T11),1,0)</f>
        <v>0</v>
      </c>
      <c r="I187" s="6">
        <f>IF(AND(ISNUMBER('评分录入'!T11),'评分录入'!T11=1),1,0)</f>
        <v>0</v>
      </c>
      <c r="J187" s="6">
        <f>IF(AND(ISNUMBER('评分录入'!T11),'评分录入'!T11=0.5),1,0)</f>
        <v>0</v>
      </c>
      <c r="K187" s="6">
        <f>IF(AND(ISNUMBER('评分录入'!T11),'评分录入'!T11=0),1,0)</f>
        <v>0</v>
      </c>
      <c r="L187" s="6">
        <f>G187-H187</f>
        <v>0</v>
      </c>
      <c r="M187" s="7">
        <f>IF(H187=0,"",(I187+J187*0.5)/H187)</f>
        <v/>
      </c>
    </row>
    <row r="188" spans="1:13" ht="28" customHeight="1">
      <c r="A188" s="4" t="s">
        <v>72</v>
      </c>
      <c r="B188" s="4" t="s">
        <v>77</v>
      </c>
      <c r="C188" s="4" t="s">
        <v>79</v>
      </c>
      <c r="D188" s="4" t="s">
        <v>89</v>
      </c>
      <c r="E188" s="4" t="s">
        <v>118</v>
      </c>
      <c r="F188" s="4">
        <v>1</v>
      </c>
      <c r="G188" s="6">
        <f>IF('评分录入'!M11="纳入",1,0)</f>
        <v>0</v>
      </c>
      <c r="H188" s="6">
        <f>IF(ISNUMBER('评分录入'!Z11),1,0)</f>
        <v>0</v>
      </c>
      <c r="I188" s="6">
        <f>IF(AND(ISNUMBER('评分录入'!Z11),'评分录入'!Z11=1),1,0)</f>
        <v>0</v>
      </c>
      <c r="J188" s="6">
        <f>IF(AND(ISNUMBER('评分录入'!Z11),'评分录入'!Z11=0.5),1,0)</f>
        <v>0</v>
      </c>
      <c r="K188" s="6">
        <f>IF(AND(ISNUMBER('评分录入'!Z11),'评分录入'!Z11=0),1,0)</f>
        <v>0</v>
      </c>
      <c r="L188" s="6">
        <f>G188-H188</f>
        <v>0</v>
      </c>
      <c r="M188" s="7">
        <f>IF(H188=0,"",(I188+J188*0.5)/H188)</f>
        <v/>
      </c>
    </row>
    <row r="189" spans="1:13" ht="28" customHeight="1">
      <c r="A189" s="4" t="s">
        <v>72</v>
      </c>
      <c r="B189" s="4" t="s">
        <v>77</v>
      </c>
      <c r="C189" s="4" t="s">
        <v>79</v>
      </c>
      <c r="D189" s="4" t="s">
        <v>89</v>
      </c>
      <c r="E189" s="4" t="s">
        <v>119</v>
      </c>
      <c r="F189" s="4">
        <v>1</v>
      </c>
      <c r="G189" s="6">
        <f>IF('评分录入'!M11="纳入",1,0)</f>
        <v>0</v>
      </c>
      <c r="H189" s="6">
        <f>IF(ISNUMBER('评分录入'!AA11),1,0)</f>
        <v>0</v>
      </c>
      <c r="I189" s="6">
        <f>IF(AND(ISNUMBER('评分录入'!AA11),'评分录入'!AA11=1),1,0)</f>
        <v>0</v>
      </c>
      <c r="J189" s="6">
        <f>IF(AND(ISNUMBER('评分录入'!AA11),'评分录入'!AA11=0.5),1,0)</f>
        <v>0</v>
      </c>
      <c r="K189" s="6">
        <f>IF(AND(ISNUMBER('评分录入'!AA11),'评分录入'!AA11=0),1,0)</f>
        <v>0</v>
      </c>
      <c r="L189" s="6">
        <f>G189-H189</f>
        <v>0</v>
      </c>
      <c r="M189" s="7">
        <f>IF(H189=0,"",(I189+J189*0.5)/H189)</f>
        <v/>
      </c>
    </row>
    <row r="190" spans="1:13" ht="28" customHeight="1">
      <c r="A190" s="4" t="s">
        <v>72</v>
      </c>
      <c r="B190" s="4" t="s">
        <v>77</v>
      </c>
      <c r="C190" s="4" t="s">
        <v>79</v>
      </c>
      <c r="D190" s="4" t="s">
        <v>89</v>
      </c>
      <c r="E190" s="4" t="s">
        <v>120</v>
      </c>
      <c r="F190" s="4">
        <v>1</v>
      </c>
      <c r="G190" s="6">
        <f>IF('评分录入'!M11="纳入",1,0)</f>
        <v>0</v>
      </c>
      <c r="H190" s="6">
        <f>IF(ISNUMBER('评分录入'!AB11),1,0)</f>
        <v>0</v>
      </c>
      <c r="I190" s="6">
        <f>IF(AND(ISNUMBER('评分录入'!AB11),'评分录入'!AB11=1),1,0)</f>
        <v>0</v>
      </c>
      <c r="J190" s="6">
        <f>IF(AND(ISNUMBER('评分录入'!AB11),'评分录入'!AB11=0.5),1,0)</f>
        <v>0</v>
      </c>
      <c r="K190" s="6">
        <f>IF(AND(ISNUMBER('评分录入'!AB11),'评分录入'!AB11=0),1,0)</f>
        <v>0</v>
      </c>
      <c r="L190" s="6">
        <f>G190-H190</f>
        <v>0</v>
      </c>
      <c r="M190" s="7">
        <f>IF(H190=0,"",(I190+J190*0.5)/H190)</f>
        <v/>
      </c>
    </row>
    <row r="191" spans="1:13" ht="28" customHeight="1">
      <c r="A191" s="4" t="s">
        <v>72</v>
      </c>
      <c r="B191" s="4" t="s">
        <v>77</v>
      </c>
      <c r="C191" s="4" t="s">
        <v>79</v>
      </c>
      <c r="D191" s="4" t="s">
        <v>89</v>
      </c>
      <c r="E191" s="4" t="s">
        <v>121</v>
      </c>
      <c r="F191" s="4">
        <v>1</v>
      </c>
      <c r="G191" s="6">
        <f>IF('评分录入'!M11="纳入",1,0)</f>
        <v>0</v>
      </c>
      <c r="H191" s="6">
        <f>IF(ISNUMBER('评分录入'!AC11),1,0)</f>
        <v>0</v>
      </c>
      <c r="I191" s="6">
        <f>IF(AND(ISNUMBER('评分录入'!AC11),'评分录入'!AC11=1),1,0)</f>
        <v>0</v>
      </c>
      <c r="J191" s="6">
        <f>IF(AND(ISNUMBER('评分录入'!AC11),'评分录入'!AC11=0.5),1,0)</f>
        <v>0</v>
      </c>
      <c r="K191" s="6">
        <f>IF(AND(ISNUMBER('评分录入'!AC11),'评分录入'!AC11=0),1,0)</f>
        <v>0</v>
      </c>
      <c r="L191" s="6">
        <f>G191-H191</f>
        <v>0</v>
      </c>
      <c r="M191" s="7">
        <f>IF(H191=0,"",(I191+J191*0.5)/H191)</f>
        <v/>
      </c>
    </row>
    <row r="192" spans="1:13" ht="28" customHeight="1">
      <c r="A192" s="4" t="s">
        <v>72</v>
      </c>
      <c r="B192" s="4" t="s">
        <v>77</v>
      </c>
      <c r="C192" s="4" t="s">
        <v>79</v>
      </c>
      <c r="D192" s="4" t="s">
        <v>89</v>
      </c>
      <c r="E192" s="4" t="s">
        <v>122</v>
      </c>
      <c r="F192" s="4">
        <v>1</v>
      </c>
      <c r="G192" s="6">
        <f>IF('评分录入'!M11="纳入",1,0)</f>
        <v>0</v>
      </c>
      <c r="H192" s="6">
        <f>IF(ISNUMBER('评分录入'!AD11),1,0)</f>
        <v>0</v>
      </c>
      <c r="I192" s="6">
        <f>IF(AND(ISNUMBER('评分录入'!AD11),'评分录入'!AD11=1),1,0)</f>
        <v>0</v>
      </c>
      <c r="J192" s="6">
        <f>IF(AND(ISNUMBER('评分录入'!AD11),'评分录入'!AD11=0.5),1,0)</f>
        <v>0</v>
      </c>
      <c r="K192" s="6">
        <f>IF(AND(ISNUMBER('评分录入'!AD11),'评分录入'!AD11=0),1,0)</f>
        <v>0</v>
      </c>
      <c r="L192" s="6">
        <f>G192-H192</f>
        <v>0</v>
      </c>
      <c r="M192" s="7">
        <f>IF(H192=0,"",(I192+J192*0.5)/H192)</f>
        <v/>
      </c>
    </row>
    <row r="193" spans="1:13" ht="28" customHeight="1">
      <c r="A193" s="4" t="s">
        <v>72</v>
      </c>
      <c r="B193" s="4" t="s">
        <v>86</v>
      </c>
      <c r="C193" s="4" t="s">
        <v>74</v>
      </c>
      <c r="D193" s="4" t="s">
        <v>79</v>
      </c>
      <c r="E193" s="4" t="s">
        <v>117</v>
      </c>
      <c r="F193" s="4">
        <v>1</v>
      </c>
      <c r="G193" s="6">
        <f>IF('评分录入'!M46="纳入",1,0)</f>
        <v>0</v>
      </c>
      <c r="H193" s="6">
        <f>IF(ISNUMBER('评分录入'!T46),1,0)</f>
        <v>0</v>
      </c>
      <c r="I193" s="6">
        <f>IF(AND(ISNUMBER('评分录入'!T46),'评分录入'!T46=1),1,0)</f>
        <v>0</v>
      </c>
      <c r="J193" s="6">
        <f>IF(AND(ISNUMBER('评分录入'!T46),'评分录入'!T46=0.5),1,0)</f>
        <v>0</v>
      </c>
      <c r="K193" s="6">
        <f>IF(AND(ISNUMBER('评分录入'!T46),'评分录入'!T46=0),1,0)</f>
        <v>0</v>
      </c>
      <c r="L193" s="6">
        <f>G193-H193</f>
        <v>0</v>
      </c>
      <c r="M193" s="7">
        <f>IF(H193=0,"",(I193+J193*0.5)/H193)</f>
        <v/>
      </c>
    </row>
    <row r="194" spans="1:13" ht="28" customHeight="1">
      <c r="A194" s="4" t="s">
        <v>72</v>
      </c>
      <c r="B194" s="4" t="s">
        <v>86</v>
      </c>
      <c r="C194" s="4" t="s">
        <v>74</v>
      </c>
      <c r="D194" s="4" t="s">
        <v>79</v>
      </c>
      <c r="E194" s="4" t="s">
        <v>118</v>
      </c>
      <c r="F194" s="4">
        <v>1</v>
      </c>
      <c r="G194" s="6">
        <f>IF('评分录入'!M46="纳入",1,0)</f>
        <v>0</v>
      </c>
      <c r="H194" s="6">
        <f>IF(ISNUMBER('评分录入'!Z46),1,0)</f>
        <v>0</v>
      </c>
      <c r="I194" s="6">
        <f>IF(AND(ISNUMBER('评分录入'!Z46),'评分录入'!Z46=1),1,0)</f>
        <v>0</v>
      </c>
      <c r="J194" s="6">
        <f>IF(AND(ISNUMBER('评分录入'!Z46),'评分录入'!Z46=0.5),1,0)</f>
        <v>0</v>
      </c>
      <c r="K194" s="6">
        <f>IF(AND(ISNUMBER('评分录入'!Z46),'评分录入'!Z46=0),1,0)</f>
        <v>0</v>
      </c>
      <c r="L194" s="6">
        <f>G194-H194</f>
        <v>0</v>
      </c>
      <c r="M194" s="7">
        <f>IF(H194=0,"",(I194+J194*0.5)/H194)</f>
        <v/>
      </c>
    </row>
    <row r="195" spans="1:13" ht="28" customHeight="1">
      <c r="A195" s="4" t="s">
        <v>72</v>
      </c>
      <c r="B195" s="4" t="s">
        <v>86</v>
      </c>
      <c r="C195" s="4" t="s">
        <v>74</v>
      </c>
      <c r="D195" s="4" t="s">
        <v>79</v>
      </c>
      <c r="E195" s="4" t="s">
        <v>119</v>
      </c>
      <c r="F195" s="4">
        <v>1</v>
      </c>
      <c r="G195" s="6">
        <f>IF('评分录入'!M46="纳入",1,0)</f>
        <v>0</v>
      </c>
      <c r="H195" s="6">
        <f>IF(ISNUMBER('评分录入'!AA46),1,0)</f>
        <v>0</v>
      </c>
      <c r="I195" s="6">
        <f>IF(AND(ISNUMBER('评分录入'!AA46),'评分录入'!AA46=1),1,0)</f>
        <v>0</v>
      </c>
      <c r="J195" s="6">
        <f>IF(AND(ISNUMBER('评分录入'!AA46),'评分录入'!AA46=0.5),1,0)</f>
        <v>0</v>
      </c>
      <c r="K195" s="6">
        <f>IF(AND(ISNUMBER('评分录入'!AA46),'评分录入'!AA46=0),1,0)</f>
        <v>0</v>
      </c>
      <c r="L195" s="6">
        <f>G195-H195</f>
        <v>0</v>
      </c>
      <c r="M195" s="7">
        <f>IF(H195=0,"",(I195+J195*0.5)/H195)</f>
        <v/>
      </c>
    </row>
    <row r="196" spans="1:13" ht="28" customHeight="1">
      <c r="A196" s="4" t="s">
        <v>72</v>
      </c>
      <c r="B196" s="4" t="s">
        <v>86</v>
      </c>
      <c r="C196" s="4" t="s">
        <v>74</v>
      </c>
      <c r="D196" s="4" t="s">
        <v>79</v>
      </c>
      <c r="E196" s="4" t="s">
        <v>120</v>
      </c>
      <c r="F196" s="4">
        <v>1</v>
      </c>
      <c r="G196" s="6">
        <f>IF('评分录入'!M46="纳入",1,0)</f>
        <v>0</v>
      </c>
      <c r="H196" s="6">
        <f>IF(ISNUMBER('评分录入'!AB46),1,0)</f>
        <v>0</v>
      </c>
      <c r="I196" s="6">
        <f>IF(AND(ISNUMBER('评分录入'!AB46),'评分录入'!AB46=1),1,0)</f>
        <v>0</v>
      </c>
      <c r="J196" s="6">
        <f>IF(AND(ISNUMBER('评分录入'!AB46),'评分录入'!AB46=0.5),1,0)</f>
        <v>0</v>
      </c>
      <c r="K196" s="6">
        <f>IF(AND(ISNUMBER('评分录入'!AB46),'评分录入'!AB46=0),1,0)</f>
        <v>0</v>
      </c>
      <c r="L196" s="6">
        <f>G196-H196</f>
        <v>0</v>
      </c>
      <c r="M196" s="7">
        <f>IF(H196=0,"",(I196+J196*0.5)/H196)</f>
        <v/>
      </c>
    </row>
    <row r="197" spans="1:13" ht="28" customHeight="1">
      <c r="A197" s="4" t="s">
        <v>72</v>
      </c>
      <c r="B197" s="4" t="s">
        <v>86</v>
      </c>
      <c r="C197" s="4" t="s">
        <v>74</v>
      </c>
      <c r="D197" s="4" t="s">
        <v>79</v>
      </c>
      <c r="E197" s="4" t="s">
        <v>121</v>
      </c>
      <c r="F197" s="4">
        <v>1</v>
      </c>
      <c r="G197" s="6">
        <f>IF('评分录入'!M46="纳入",1,0)</f>
        <v>0</v>
      </c>
      <c r="H197" s="6">
        <f>IF(ISNUMBER('评分录入'!AC46),1,0)</f>
        <v>0</v>
      </c>
      <c r="I197" s="6">
        <f>IF(AND(ISNUMBER('评分录入'!AC46),'评分录入'!AC46=1),1,0)</f>
        <v>0</v>
      </c>
      <c r="J197" s="6">
        <f>IF(AND(ISNUMBER('评分录入'!AC46),'评分录入'!AC46=0.5),1,0)</f>
        <v>0</v>
      </c>
      <c r="K197" s="6">
        <f>IF(AND(ISNUMBER('评分录入'!AC46),'评分录入'!AC46=0),1,0)</f>
        <v>0</v>
      </c>
      <c r="L197" s="6">
        <f>G197-H197</f>
        <v>0</v>
      </c>
      <c r="M197" s="7">
        <f>IF(H197=0,"",(I197+J197*0.5)/H197)</f>
        <v/>
      </c>
    </row>
    <row r="198" spans="1:13" ht="28" customHeight="1">
      <c r="A198" s="4" t="s">
        <v>72</v>
      </c>
      <c r="B198" s="4" t="s">
        <v>86</v>
      </c>
      <c r="C198" s="4" t="s">
        <v>74</v>
      </c>
      <c r="D198" s="4" t="s">
        <v>79</v>
      </c>
      <c r="E198" s="4" t="s">
        <v>122</v>
      </c>
      <c r="F198" s="4">
        <v>1</v>
      </c>
      <c r="G198" s="6">
        <f>IF('评分录入'!M46="纳入",1,0)</f>
        <v>0</v>
      </c>
      <c r="H198" s="6">
        <f>IF(ISNUMBER('评分录入'!AD46),1,0)</f>
        <v>0</v>
      </c>
      <c r="I198" s="6">
        <f>IF(AND(ISNUMBER('评分录入'!AD46),'评分录入'!AD46=1),1,0)</f>
        <v>0</v>
      </c>
      <c r="J198" s="6">
        <f>IF(AND(ISNUMBER('评分录入'!AD46),'评分录入'!AD46=0.5),1,0)</f>
        <v>0</v>
      </c>
      <c r="K198" s="6">
        <f>IF(AND(ISNUMBER('评分录入'!AD46),'评分录入'!AD46=0),1,0)</f>
        <v>0</v>
      </c>
      <c r="L198" s="6">
        <f>G198-H198</f>
        <v>0</v>
      </c>
      <c r="M198" s="7">
        <f>IF(H198=0,"",(I198+J198*0.5)/H198)</f>
        <v/>
      </c>
    </row>
    <row r="199" spans="1:13" ht="28" customHeight="1">
      <c r="A199" s="4" t="s">
        <v>72</v>
      </c>
      <c r="B199" s="4" t="s">
        <v>86</v>
      </c>
      <c r="C199" s="4" t="s">
        <v>75</v>
      </c>
      <c r="D199" s="4" t="s">
        <v>87</v>
      </c>
      <c r="E199" s="4" t="s">
        <v>117</v>
      </c>
      <c r="F199" s="4">
        <v>1</v>
      </c>
      <c r="G199" s="6">
        <f>IF('评分录入'!M24="纳入",1,0)</f>
        <v>0</v>
      </c>
      <c r="H199" s="6">
        <f>IF(ISNUMBER('评分录入'!T24),1,0)</f>
        <v>0</v>
      </c>
      <c r="I199" s="6">
        <f>IF(AND(ISNUMBER('评分录入'!T24),'评分录入'!T24=1),1,0)</f>
        <v>0</v>
      </c>
      <c r="J199" s="6">
        <f>IF(AND(ISNUMBER('评分录入'!T24),'评分录入'!T24=0.5),1,0)</f>
        <v>0</v>
      </c>
      <c r="K199" s="6">
        <f>IF(AND(ISNUMBER('评分录入'!T24),'评分录入'!T24=0),1,0)</f>
        <v>0</v>
      </c>
      <c r="L199" s="6">
        <f>G199-H199</f>
        <v>0</v>
      </c>
      <c r="M199" s="7">
        <f>IF(H199=0,"",(I199+J199*0.5)/H199)</f>
        <v/>
      </c>
    </row>
    <row r="200" spans="1:13" ht="28" customHeight="1">
      <c r="A200" s="4" t="s">
        <v>72</v>
      </c>
      <c r="B200" s="4" t="s">
        <v>86</v>
      </c>
      <c r="C200" s="4" t="s">
        <v>75</v>
      </c>
      <c r="D200" s="4" t="s">
        <v>87</v>
      </c>
      <c r="E200" s="4" t="s">
        <v>118</v>
      </c>
      <c r="F200" s="4">
        <v>1</v>
      </c>
      <c r="G200" s="6">
        <f>IF('评分录入'!M24="纳入",1,0)</f>
        <v>0</v>
      </c>
      <c r="H200" s="6">
        <f>IF(ISNUMBER('评分录入'!Z24),1,0)</f>
        <v>0</v>
      </c>
      <c r="I200" s="6">
        <f>IF(AND(ISNUMBER('评分录入'!Z24),'评分录入'!Z24=1),1,0)</f>
        <v>0</v>
      </c>
      <c r="J200" s="6">
        <f>IF(AND(ISNUMBER('评分录入'!Z24),'评分录入'!Z24=0.5),1,0)</f>
        <v>0</v>
      </c>
      <c r="K200" s="6">
        <f>IF(AND(ISNUMBER('评分录入'!Z24),'评分录入'!Z24=0),1,0)</f>
        <v>0</v>
      </c>
      <c r="L200" s="6">
        <f>G200-H200</f>
        <v>0</v>
      </c>
      <c r="M200" s="7">
        <f>IF(H200=0,"",(I200+J200*0.5)/H200)</f>
        <v/>
      </c>
    </row>
    <row r="201" spans="1:13" ht="28" customHeight="1">
      <c r="A201" s="4" t="s">
        <v>72</v>
      </c>
      <c r="B201" s="4" t="s">
        <v>86</v>
      </c>
      <c r="C201" s="4" t="s">
        <v>75</v>
      </c>
      <c r="D201" s="4" t="s">
        <v>87</v>
      </c>
      <c r="E201" s="4" t="s">
        <v>119</v>
      </c>
      <c r="F201" s="4">
        <v>1</v>
      </c>
      <c r="G201" s="6">
        <f>IF('评分录入'!M24="纳入",1,0)</f>
        <v>0</v>
      </c>
      <c r="H201" s="6">
        <f>IF(ISNUMBER('评分录入'!AA24),1,0)</f>
        <v>0</v>
      </c>
      <c r="I201" s="6">
        <f>IF(AND(ISNUMBER('评分录入'!AA24),'评分录入'!AA24=1),1,0)</f>
        <v>0</v>
      </c>
      <c r="J201" s="6">
        <f>IF(AND(ISNUMBER('评分录入'!AA24),'评分录入'!AA24=0.5),1,0)</f>
        <v>0</v>
      </c>
      <c r="K201" s="6">
        <f>IF(AND(ISNUMBER('评分录入'!AA24),'评分录入'!AA24=0),1,0)</f>
        <v>0</v>
      </c>
      <c r="L201" s="6">
        <f>G201-H201</f>
        <v>0</v>
      </c>
      <c r="M201" s="7">
        <f>IF(H201=0,"",(I201+J201*0.5)/H201)</f>
        <v/>
      </c>
    </row>
    <row r="202" spans="1:13" ht="28" customHeight="1">
      <c r="A202" s="4" t="s">
        <v>72</v>
      </c>
      <c r="B202" s="4" t="s">
        <v>86</v>
      </c>
      <c r="C202" s="4" t="s">
        <v>75</v>
      </c>
      <c r="D202" s="4" t="s">
        <v>87</v>
      </c>
      <c r="E202" s="4" t="s">
        <v>120</v>
      </c>
      <c r="F202" s="4">
        <v>1</v>
      </c>
      <c r="G202" s="6">
        <f>IF('评分录入'!M24="纳入",1,0)</f>
        <v>0</v>
      </c>
      <c r="H202" s="6">
        <f>IF(ISNUMBER('评分录入'!AB24),1,0)</f>
        <v>0</v>
      </c>
      <c r="I202" s="6">
        <f>IF(AND(ISNUMBER('评分录入'!AB24),'评分录入'!AB24=1),1,0)</f>
        <v>0</v>
      </c>
      <c r="J202" s="6">
        <f>IF(AND(ISNUMBER('评分录入'!AB24),'评分录入'!AB24=0.5),1,0)</f>
        <v>0</v>
      </c>
      <c r="K202" s="6">
        <f>IF(AND(ISNUMBER('评分录入'!AB24),'评分录入'!AB24=0),1,0)</f>
        <v>0</v>
      </c>
      <c r="L202" s="6">
        <f>G202-H202</f>
        <v>0</v>
      </c>
      <c r="M202" s="7">
        <f>IF(H202=0,"",(I202+J202*0.5)/H202)</f>
        <v/>
      </c>
    </row>
    <row r="203" spans="1:13" ht="28" customHeight="1">
      <c r="A203" s="4" t="s">
        <v>72</v>
      </c>
      <c r="B203" s="4" t="s">
        <v>86</v>
      </c>
      <c r="C203" s="4" t="s">
        <v>75</v>
      </c>
      <c r="D203" s="4" t="s">
        <v>87</v>
      </c>
      <c r="E203" s="4" t="s">
        <v>121</v>
      </c>
      <c r="F203" s="4">
        <v>1</v>
      </c>
      <c r="G203" s="6">
        <f>IF('评分录入'!M24="纳入",1,0)</f>
        <v>0</v>
      </c>
      <c r="H203" s="6">
        <f>IF(ISNUMBER('评分录入'!AC24),1,0)</f>
        <v>0</v>
      </c>
      <c r="I203" s="6">
        <f>IF(AND(ISNUMBER('评分录入'!AC24),'评分录入'!AC24=1),1,0)</f>
        <v>0</v>
      </c>
      <c r="J203" s="6">
        <f>IF(AND(ISNUMBER('评分录入'!AC24),'评分录入'!AC24=0.5),1,0)</f>
        <v>0</v>
      </c>
      <c r="K203" s="6">
        <f>IF(AND(ISNUMBER('评分录入'!AC24),'评分录入'!AC24=0),1,0)</f>
        <v>0</v>
      </c>
      <c r="L203" s="6">
        <f>G203-H203</f>
        <v>0</v>
      </c>
      <c r="M203" s="7">
        <f>IF(H203=0,"",(I203+J203*0.5)/H203)</f>
        <v/>
      </c>
    </row>
    <row r="204" spans="1:13" ht="28" customHeight="1">
      <c r="A204" s="4" t="s">
        <v>72</v>
      </c>
      <c r="B204" s="4" t="s">
        <v>86</v>
      </c>
      <c r="C204" s="4" t="s">
        <v>75</v>
      </c>
      <c r="D204" s="4" t="s">
        <v>87</v>
      </c>
      <c r="E204" s="4" t="s">
        <v>122</v>
      </c>
      <c r="F204" s="4">
        <v>1</v>
      </c>
      <c r="G204" s="6">
        <f>IF('评分录入'!M24="纳入",1,0)</f>
        <v>0</v>
      </c>
      <c r="H204" s="6">
        <f>IF(ISNUMBER('评分录入'!AD24),1,0)</f>
        <v>0</v>
      </c>
      <c r="I204" s="6">
        <f>IF(AND(ISNUMBER('评分录入'!AD24),'评分录入'!AD24=1),1,0)</f>
        <v>0</v>
      </c>
      <c r="J204" s="6">
        <f>IF(AND(ISNUMBER('评分录入'!AD24),'评分录入'!AD24=0.5),1,0)</f>
        <v>0</v>
      </c>
      <c r="K204" s="6">
        <f>IF(AND(ISNUMBER('评分录入'!AD24),'评分录入'!AD24=0),1,0)</f>
        <v>0</v>
      </c>
      <c r="L204" s="6">
        <f>G204-H204</f>
        <v>0</v>
      </c>
      <c r="M204" s="7">
        <f>IF(H204=0,"",(I204+J204*0.5)/H204)</f>
        <v/>
      </c>
    </row>
    <row r="205" spans="1:13" ht="28" customHeight="1">
      <c r="A205" s="4" t="s">
        <v>72</v>
      </c>
      <c r="B205" s="4" t="s">
        <v>86</v>
      </c>
      <c r="C205" s="4" t="s">
        <v>78</v>
      </c>
      <c r="D205" s="4" t="s">
        <v>87</v>
      </c>
      <c r="E205" s="4" t="s">
        <v>117</v>
      </c>
      <c r="F205" s="4">
        <v>1</v>
      </c>
      <c r="G205" s="6">
        <f>IF('评分录入'!M54="纳入",1,0)</f>
        <v>0</v>
      </c>
      <c r="H205" s="6">
        <f>IF(ISNUMBER('评分录入'!T54),1,0)</f>
        <v>0</v>
      </c>
      <c r="I205" s="6">
        <f>IF(AND(ISNUMBER('评分录入'!T54),'评分录入'!T54=1),1,0)</f>
        <v>0</v>
      </c>
      <c r="J205" s="6">
        <f>IF(AND(ISNUMBER('评分录入'!T54),'评分录入'!T54=0.5),1,0)</f>
        <v>0</v>
      </c>
      <c r="K205" s="6">
        <f>IF(AND(ISNUMBER('评分录入'!T54),'评分录入'!T54=0),1,0)</f>
        <v>0</v>
      </c>
      <c r="L205" s="6">
        <f>G205-H205</f>
        <v>0</v>
      </c>
      <c r="M205" s="7">
        <f>IF(H205=0,"",(I205+J205*0.5)/H205)</f>
        <v/>
      </c>
    </row>
    <row r="206" spans="1:13" ht="28" customHeight="1">
      <c r="A206" s="4" t="s">
        <v>72</v>
      </c>
      <c r="B206" s="4" t="s">
        <v>86</v>
      </c>
      <c r="C206" s="4" t="s">
        <v>78</v>
      </c>
      <c r="D206" s="4" t="s">
        <v>87</v>
      </c>
      <c r="E206" s="4" t="s">
        <v>118</v>
      </c>
      <c r="F206" s="4">
        <v>1</v>
      </c>
      <c r="G206" s="6">
        <f>IF('评分录入'!M54="纳入",1,0)</f>
        <v>0</v>
      </c>
      <c r="H206" s="6">
        <f>IF(ISNUMBER('评分录入'!Z54),1,0)</f>
        <v>0</v>
      </c>
      <c r="I206" s="6">
        <f>IF(AND(ISNUMBER('评分录入'!Z54),'评分录入'!Z54=1),1,0)</f>
        <v>0</v>
      </c>
      <c r="J206" s="6">
        <f>IF(AND(ISNUMBER('评分录入'!Z54),'评分录入'!Z54=0.5),1,0)</f>
        <v>0</v>
      </c>
      <c r="K206" s="6">
        <f>IF(AND(ISNUMBER('评分录入'!Z54),'评分录入'!Z54=0),1,0)</f>
        <v>0</v>
      </c>
      <c r="L206" s="6">
        <f>G206-H206</f>
        <v>0</v>
      </c>
      <c r="M206" s="7">
        <f>IF(H206=0,"",(I206+J206*0.5)/H206)</f>
        <v/>
      </c>
    </row>
    <row r="207" spans="1:13" ht="28" customHeight="1">
      <c r="A207" s="4" t="s">
        <v>72</v>
      </c>
      <c r="B207" s="4" t="s">
        <v>86</v>
      </c>
      <c r="C207" s="4" t="s">
        <v>78</v>
      </c>
      <c r="D207" s="4" t="s">
        <v>87</v>
      </c>
      <c r="E207" s="4" t="s">
        <v>119</v>
      </c>
      <c r="F207" s="4">
        <v>1</v>
      </c>
      <c r="G207" s="6">
        <f>IF('评分录入'!M54="纳入",1,0)</f>
        <v>0</v>
      </c>
      <c r="H207" s="6">
        <f>IF(ISNUMBER('评分录入'!AA54),1,0)</f>
        <v>0</v>
      </c>
      <c r="I207" s="6">
        <f>IF(AND(ISNUMBER('评分录入'!AA54),'评分录入'!AA54=1),1,0)</f>
        <v>0</v>
      </c>
      <c r="J207" s="6">
        <f>IF(AND(ISNUMBER('评分录入'!AA54),'评分录入'!AA54=0.5),1,0)</f>
        <v>0</v>
      </c>
      <c r="K207" s="6">
        <f>IF(AND(ISNUMBER('评分录入'!AA54),'评分录入'!AA54=0),1,0)</f>
        <v>0</v>
      </c>
      <c r="L207" s="6">
        <f>G207-H207</f>
        <v>0</v>
      </c>
      <c r="M207" s="7">
        <f>IF(H207=0,"",(I207+J207*0.5)/H207)</f>
        <v/>
      </c>
    </row>
    <row r="208" spans="1:13" ht="28" customHeight="1">
      <c r="A208" s="4" t="s">
        <v>72</v>
      </c>
      <c r="B208" s="4" t="s">
        <v>86</v>
      </c>
      <c r="C208" s="4" t="s">
        <v>78</v>
      </c>
      <c r="D208" s="4" t="s">
        <v>87</v>
      </c>
      <c r="E208" s="4" t="s">
        <v>120</v>
      </c>
      <c r="F208" s="4">
        <v>1</v>
      </c>
      <c r="G208" s="6">
        <f>IF('评分录入'!M54="纳入",1,0)</f>
        <v>0</v>
      </c>
      <c r="H208" s="6">
        <f>IF(ISNUMBER('评分录入'!AB54),1,0)</f>
        <v>0</v>
      </c>
      <c r="I208" s="6">
        <f>IF(AND(ISNUMBER('评分录入'!AB54),'评分录入'!AB54=1),1,0)</f>
        <v>0</v>
      </c>
      <c r="J208" s="6">
        <f>IF(AND(ISNUMBER('评分录入'!AB54),'评分录入'!AB54=0.5),1,0)</f>
        <v>0</v>
      </c>
      <c r="K208" s="6">
        <f>IF(AND(ISNUMBER('评分录入'!AB54),'评分录入'!AB54=0),1,0)</f>
        <v>0</v>
      </c>
      <c r="L208" s="6">
        <f>G208-H208</f>
        <v>0</v>
      </c>
      <c r="M208" s="7">
        <f>IF(H208=0,"",(I208+J208*0.5)/H208)</f>
        <v/>
      </c>
    </row>
    <row r="209" spans="1:13" ht="28" customHeight="1">
      <c r="A209" s="4" t="s">
        <v>72</v>
      </c>
      <c r="B209" s="4" t="s">
        <v>86</v>
      </c>
      <c r="C209" s="4" t="s">
        <v>78</v>
      </c>
      <c r="D209" s="4" t="s">
        <v>87</v>
      </c>
      <c r="E209" s="4" t="s">
        <v>121</v>
      </c>
      <c r="F209" s="4">
        <v>1</v>
      </c>
      <c r="G209" s="6">
        <f>IF('评分录入'!M54="纳入",1,0)</f>
        <v>0</v>
      </c>
      <c r="H209" s="6">
        <f>IF(ISNUMBER('评分录入'!AC54),1,0)</f>
        <v>0</v>
      </c>
      <c r="I209" s="6">
        <f>IF(AND(ISNUMBER('评分录入'!AC54),'评分录入'!AC54=1),1,0)</f>
        <v>0</v>
      </c>
      <c r="J209" s="6">
        <f>IF(AND(ISNUMBER('评分录入'!AC54),'评分录入'!AC54=0.5),1,0)</f>
        <v>0</v>
      </c>
      <c r="K209" s="6">
        <f>IF(AND(ISNUMBER('评分录入'!AC54),'评分录入'!AC54=0),1,0)</f>
        <v>0</v>
      </c>
      <c r="L209" s="6">
        <f>G209-H209</f>
        <v>0</v>
      </c>
      <c r="M209" s="7">
        <f>IF(H209=0,"",(I209+J209*0.5)/H209)</f>
        <v/>
      </c>
    </row>
    <row r="210" spans="1:13" ht="28" customHeight="1">
      <c r="A210" s="4" t="s">
        <v>72</v>
      </c>
      <c r="B210" s="4" t="s">
        <v>86</v>
      </c>
      <c r="C210" s="4" t="s">
        <v>78</v>
      </c>
      <c r="D210" s="4" t="s">
        <v>87</v>
      </c>
      <c r="E210" s="4" t="s">
        <v>122</v>
      </c>
      <c r="F210" s="4">
        <v>1</v>
      </c>
      <c r="G210" s="6">
        <f>IF('评分录入'!M54="纳入",1,0)</f>
        <v>0</v>
      </c>
      <c r="H210" s="6">
        <f>IF(ISNUMBER('评分录入'!AD54),1,0)</f>
        <v>0</v>
      </c>
      <c r="I210" s="6">
        <f>IF(AND(ISNUMBER('评分录入'!AD54),'评分录入'!AD54=1),1,0)</f>
        <v>0</v>
      </c>
      <c r="J210" s="6">
        <f>IF(AND(ISNUMBER('评分录入'!AD54),'评分录入'!AD54=0.5),1,0)</f>
        <v>0</v>
      </c>
      <c r="K210" s="6">
        <f>IF(AND(ISNUMBER('评分录入'!AD54),'评分录入'!AD54=0),1,0)</f>
        <v>0</v>
      </c>
      <c r="L210" s="6">
        <f>G210-H210</f>
        <v>0</v>
      </c>
      <c r="M210" s="7">
        <f>IF(H210=0,"",(I210+J210*0.5)/H210)</f>
        <v/>
      </c>
    </row>
    <row r="211" spans="1:13" ht="28" customHeight="1">
      <c r="A211" s="4" t="s">
        <v>72</v>
      </c>
      <c r="B211" s="4" t="s">
        <v>86</v>
      </c>
      <c r="C211" s="4" t="s">
        <v>79</v>
      </c>
      <c r="D211" s="4" t="s">
        <v>78</v>
      </c>
      <c r="E211" s="4" t="s">
        <v>117</v>
      </c>
      <c r="F211" s="4">
        <v>1</v>
      </c>
      <c r="G211" s="6">
        <f>IF('评分录入'!M34="纳入",1,0)</f>
        <v>0</v>
      </c>
      <c r="H211" s="6">
        <f>IF(ISNUMBER('评分录入'!T34),1,0)</f>
        <v>0</v>
      </c>
      <c r="I211" s="6">
        <f>IF(AND(ISNUMBER('评分录入'!T34),'评分录入'!T34=1),1,0)</f>
        <v>0</v>
      </c>
      <c r="J211" s="6">
        <f>IF(AND(ISNUMBER('评分录入'!T34),'评分录入'!T34=0.5),1,0)</f>
        <v>0</v>
      </c>
      <c r="K211" s="6">
        <f>IF(AND(ISNUMBER('评分录入'!T34),'评分录入'!T34=0),1,0)</f>
        <v>0</v>
      </c>
      <c r="L211" s="6">
        <f>G211-H211</f>
        <v>0</v>
      </c>
      <c r="M211" s="7">
        <f>IF(H211=0,"",(I211+J211*0.5)/H211)</f>
        <v/>
      </c>
    </row>
    <row r="212" spans="1:13" ht="28" customHeight="1">
      <c r="A212" s="4" t="s">
        <v>72</v>
      </c>
      <c r="B212" s="4" t="s">
        <v>86</v>
      </c>
      <c r="C212" s="4" t="s">
        <v>79</v>
      </c>
      <c r="D212" s="4" t="s">
        <v>78</v>
      </c>
      <c r="E212" s="4" t="s">
        <v>118</v>
      </c>
      <c r="F212" s="4">
        <v>1</v>
      </c>
      <c r="G212" s="6">
        <f>IF('评分录入'!M34="纳入",1,0)</f>
        <v>0</v>
      </c>
      <c r="H212" s="6">
        <f>IF(ISNUMBER('评分录入'!Z34),1,0)</f>
        <v>0</v>
      </c>
      <c r="I212" s="6">
        <f>IF(AND(ISNUMBER('评分录入'!Z34),'评分录入'!Z34=1),1,0)</f>
        <v>0</v>
      </c>
      <c r="J212" s="6">
        <f>IF(AND(ISNUMBER('评分录入'!Z34),'评分录入'!Z34=0.5),1,0)</f>
        <v>0</v>
      </c>
      <c r="K212" s="6">
        <f>IF(AND(ISNUMBER('评分录入'!Z34),'评分录入'!Z34=0),1,0)</f>
        <v>0</v>
      </c>
      <c r="L212" s="6">
        <f>G212-H212</f>
        <v>0</v>
      </c>
      <c r="M212" s="7">
        <f>IF(H212=0,"",(I212+J212*0.5)/H212)</f>
        <v/>
      </c>
    </row>
    <row r="213" spans="1:13" ht="28" customHeight="1">
      <c r="A213" s="4" t="s">
        <v>72</v>
      </c>
      <c r="B213" s="4" t="s">
        <v>86</v>
      </c>
      <c r="C213" s="4" t="s">
        <v>79</v>
      </c>
      <c r="D213" s="4" t="s">
        <v>78</v>
      </c>
      <c r="E213" s="4" t="s">
        <v>119</v>
      </c>
      <c r="F213" s="4">
        <v>1</v>
      </c>
      <c r="G213" s="6">
        <f>IF('评分录入'!M34="纳入",1,0)</f>
        <v>0</v>
      </c>
      <c r="H213" s="6">
        <f>IF(ISNUMBER('评分录入'!AA34),1,0)</f>
        <v>0</v>
      </c>
      <c r="I213" s="6">
        <f>IF(AND(ISNUMBER('评分录入'!AA34),'评分录入'!AA34=1),1,0)</f>
        <v>0</v>
      </c>
      <c r="J213" s="6">
        <f>IF(AND(ISNUMBER('评分录入'!AA34),'评分录入'!AA34=0.5),1,0)</f>
        <v>0</v>
      </c>
      <c r="K213" s="6">
        <f>IF(AND(ISNUMBER('评分录入'!AA34),'评分录入'!AA34=0),1,0)</f>
        <v>0</v>
      </c>
      <c r="L213" s="6">
        <f>G213-H213</f>
        <v>0</v>
      </c>
      <c r="M213" s="7">
        <f>IF(H213=0,"",(I213+J213*0.5)/H213)</f>
        <v/>
      </c>
    </row>
    <row r="214" spans="1:13" ht="28" customHeight="1">
      <c r="A214" s="4" t="s">
        <v>72</v>
      </c>
      <c r="B214" s="4" t="s">
        <v>86</v>
      </c>
      <c r="C214" s="4" t="s">
        <v>79</v>
      </c>
      <c r="D214" s="4" t="s">
        <v>78</v>
      </c>
      <c r="E214" s="4" t="s">
        <v>120</v>
      </c>
      <c r="F214" s="4">
        <v>1</v>
      </c>
      <c r="G214" s="6">
        <f>IF('评分录入'!M34="纳入",1,0)</f>
        <v>0</v>
      </c>
      <c r="H214" s="6">
        <f>IF(ISNUMBER('评分录入'!AB34),1,0)</f>
        <v>0</v>
      </c>
      <c r="I214" s="6">
        <f>IF(AND(ISNUMBER('评分录入'!AB34),'评分录入'!AB34=1),1,0)</f>
        <v>0</v>
      </c>
      <c r="J214" s="6">
        <f>IF(AND(ISNUMBER('评分录入'!AB34),'评分录入'!AB34=0.5),1,0)</f>
        <v>0</v>
      </c>
      <c r="K214" s="6">
        <f>IF(AND(ISNUMBER('评分录入'!AB34),'评分录入'!AB34=0),1,0)</f>
        <v>0</v>
      </c>
      <c r="L214" s="6">
        <f>G214-H214</f>
        <v>0</v>
      </c>
      <c r="M214" s="7">
        <f>IF(H214=0,"",(I214+J214*0.5)/H214)</f>
        <v/>
      </c>
    </row>
    <row r="215" spans="1:13" ht="28" customHeight="1">
      <c r="A215" s="4" t="s">
        <v>72</v>
      </c>
      <c r="B215" s="4" t="s">
        <v>86</v>
      </c>
      <c r="C215" s="4" t="s">
        <v>79</v>
      </c>
      <c r="D215" s="4" t="s">
        <v>78</v>
      </c>
      <c r="E215" s="4" t="s">
        <v>121</v>
      </c>
      <c r="F215" s="4">
        <v>1</v>
      </c>
      <c r="G215" s="6">
        <f>IF('评分录入'!M34="纳入",1,0)</f>
        <v>0</v>
      </c>
      <c r="H215" s="6">
        <f>IF(ISNUMBER('评分录入'!AC34),1,0)</f>
        <v>0</v>
      </c>
      <c r="I215" s="6">
        <f>IF(AND(ISNUMBER('评分录入'!AC34),'评分录入'!AC34=1),1,0)</f>
        <v>0</v>
      </c>
      <c r="J215" s="6">
        <f>IF(AND(ISNUMBER('评分录入'!AC34),'评分录入'!AC34=0.5),1,0)</f>
        <v>0</v>
      </c>
      <c r="K215" s="6">
        <f>IF(AND(ISNUMBER('评分录入'!AC34),'评分录入'!AC34=0),1,0)</f>
        <v>0</v>
      </c>
      <c r="L215" s="6">
        <f>G215-H215</f>
        <v>0</v>
      </c>
      <c r="M215" s="7">
        <f>IF(H215=0,"",(I215+J215*0.5)/H215)</f>
        <v/>
      </c>
    </row>
    <row r="216" spans="1:13" ht="28" customHeight="1">
      <c r="A216" s="4" t="s">
        <v>72</v>
      </c>
      <c r="B216" s="4" t="s">
        <v>86</v>
      </c>
      <c r="C216" s="4" t="s">
        <v>79</v>
      </c>
      <c r="D216" s="4" t="s">
        <v>78</v>
      </c>
      <c r="E216" s="4" t="s">
        <v>122</v>
      </c>
      <c r="F216" s="4">
        <v>1</v>
      </c>
      <c r="G216" s="6">
        <f>IF('评分录入'!M34="纳入",1,0)</f>
        <v>0</v>
      </c>
      <c r="H216" s="6">
        <f>IF(ISNUMBER('评分录入'!AD34),1,0)</f>
        <v>0</v>
      </c>
      <c r="I216" s="6">
        <f>IF(AND(ISNUMBER('评分录入'!AD34),'评分录入'!AD34=1),1,0)</f>
        <v>0</v>
      </c>
      <c r="J216" s="6">
        <f>IF(AND(ISNUMBER('评分录入'!AD34),'评分录入'!AD34=0.5),1,0)</f>
        <v>0</v>
      </c>
      <c r="K216" s="6">
        <f>IF(AND(ISNUMBER('评分录入'!AD34),'评分录入'!AD34=0),1,0)</f>
        <v>0</v>
      </c>
      <c r="L216" s="6">
        <f>G216-H216</f>
        <v>0</v>
      </c>
      <c r="M216" s="7">
        <f>IF(H216=0,"",(I216+J216*0.5)/H216)</f>
        <v/>
      </c>
    </row>
    <row r="217" spans="1:13" ht="28" customHeight="1">
      <c r="A217" s="4" t="s">
        <v>72</v>
      </c>
      <c r="B217" s="4" t="s">
        <v>86</v>
      </c>
      <c r="C217" s="4" t="s">
        <v>74</v>
      </c>
      <c r="D217" s="4" t="s">
        <v>87</v>
      </c>
      <c r="E217" s="4" t="s">
        <v>117</v>
      </c>
      <c r="F217" s="4">
        <v>1</v>
      </c>
      <c r="G217" s="6">
        <f>IF('评分录入'!M69="纳入",1,0)</f>
        <v>0</v>
      </c>
      <c r="H217" s="6">
        <f>IF(ISNUMBER('评分录入'!T69),1,0)</f>
        <v>0</v>
      </c>
      <c r="I217" s="6">
        <f>IF(AND(ISNUMBER('评分录入'!T69),'评分录入'!T69=1),1,0)</f>
        <v>0</v>
      </c>
      <c r="J217" s="6">
        <f>IF(AND(ISNUMBER('评分录入'!T69),'评分录入'!T69=0.5),1,0)</f>
        <v>0</v>
      </c>
      <c r="K217" s="6">
        <f>IF(AND(ISNUMBER('评分录入'!T69),'评分录入'!T69=0),1,0)</f>
        <v>0</v>
      </c>
      <c r="L217" s="6">
        <f>G217-H217</f>
        <v>0</v>
      </c>
      <c r="M217" s="7">
        <f>IF(H217=0,"",(I217+J217*0.5)/H217)</f>
        <v/>
      </c>
    </row>
    <row r="218" spans="1:13" ht="28" customHeight="1">
      <c r="A218" s="4" t="s">
        <v>72</v>
      </c>
      <c r="B218" s="4" t="s">
        <v>86</v>
      </c>
      <c r="C218" s="4" t="s">
        <v>74</v>
      </c>
      <c r="D218" s="4" t="s">
        <v>87</v>
      </c>
      <c r="E218" s="4" t="s">
        <v>118</v>
      </c>
      <c r="F218" s="4">
        <v>1</v>
      </c>
      <c r="G218" s="6">
        <f>IF('评分录入'!M69="纳入",1,0)</f>
        <v>0</v>
      </c>
      <c r="H218" s="6">
        <f>IF(ISNUMBER('评分录入'!Z69),1,0)</f>
        <v>0</v>
      </c>
      <c r="I218" s="6">
        <f>IF(AND(ISNUMBER('评分录入'!Z69),'评分录入'!Z69=1),1,0)</f>
        <v>0</v>
      </c>
      <c r="J218" s="6">
        <f>IF(AND(ISNUMBER('评分录入'!Z69),'评分录入'!Z69=0.5),1,0)</f>
        <v>0</v>
      </c>
      <c r="K218" s="6">
        <f>IF(AND(ISNUMBER('评分录入'!Z69),'评分录入'!Z69=0),1,0)</f>
        <v>0</v>
      </c>
      <c r="L218" s="6">
        <f>G218-H218</f>
        <v>0</v>
      </c>
      <c r="M218" s="7">
        <f>IF(H218=0,"",(I218+J218*0.5)/H218)</f>
        <v/>
      </c>
    </row>
    <row r="219" spans="1:13" ht="28" customHeight="1">
      <c r="A219" s="4" t="s">
        <v>72</v>
      </c>
      <c r="B219" s="4" t="s">
        <v>86</v>
      </c>
      <c r="C219" s="4" t="s">
        <v>74</v>
      </c>
      <c r="D219" s="4" t="s">
        <v>87</v>
      </c>
      <c r="E219" s="4" t="s">
        <v>119</v>
      </c>
      <c r="F219" s="4">
        <v>1</v>
      </c>
      <c r="G219" s="6">
        <f>IF('评分录入'!M69="纳入",1,0)</f>
        <v>0</v>
      </c>
      <c r="H219" s="6">
        <f>IF(ISNUMBER('评分录入'!AA69),1,0)</f>
        <v>0</v>
      </c>
      <c r="I219" s="6">
        <f>IF(AND(ISNUMBER('评分录入'!AA69),'评分录入'!AA69=1),1,0)</f>
        <v>0</v>
      </c>
      <c r="J219" s="6">
        <f>IF(AND(ISNUMBER('评分录入'!AA69),'评分录入'!AA69=0.5),1,0)</f>
        <v>0</v>
      </c>
      <c r="K219" s="6">
        <f>IF(AND(ISNUMBER('评分录入'!AA69),'评分录入'!AA69=0),1,0)</f>
        <v>0</v>
      </c>
      <c r="L219" s="6">
        <f>G219-H219</f>
        <v>0</v>
      </c>
      <c r="M219" s="7">
        <f>IF(H219=0,"",(I219+J219*0.5)/H219)</f>
        <v/>
      </c>
    </row>
    <row r="220" spans="1:13" ht="28" customHeight="1">
      <c r="A220" s="4" t="s">
        <v>72</v>
      </c>
      <c r="B220" s="4" t="s">
        <v>86</v>
      </c>
      <c r="C220" s="4" t="s">
        <v>74</v>
      </c>
      <c r="D220" s="4" t="s">
        <v>87</v>
      </c>
      <c r="E220" s="4" t="s">
        <v>120</v>
      </c>
      <c r="F220" s="4">
        <v>1</v>
      </c>
      <c r="G220" s="6">
        <f>IF('评分录入'!M69="纳入",1,0)</f>
        <v>0</v>
      </c>
      <c r="H220" s="6">
        <f>IF(ISNUMBER('评分录入'!AB69),1,0)</f>
        <v>0</v>
      </c>
      <c r="I220" s="6">
        <f>IF(AND(ISNUMBER('评分录入'!AB69),'评分录入'!AB69=1),1,0)</f>
        <v>0</v>
      </c>
      <c r="J220" s="6">
        <f>IF(AND(ISNUMBER('评分录入'!AB69),'评分录入'!AB69=0.5),1,0)</f>
        <v>0</v>
      </c>
      <c r="K220" s="6">
        <f>IF(AND(ISNUMBER('评分录入'!AB69),'评分录入'!AB69=0),1,0)</f>
        <v>0</v>
      </c>
      <c r="L220" s="6">
        <f>G220-H220</f>
        <v>0</v>
      </c>
      <c r="M220" s="7">
        <f>IF(H220=0,"",(I220+J220*0.5)/H220)</f>
        <v/>
      </c>
    </row>
    <row r="221" spans="1:13" ht="28" customHeight="1">
      <c r="A221" s="4" t="s">
        <v>72</v>
      </c>
      <c r="B221" s="4" t="s">
        <v>86</v>
      </c>
      <c r="C221" s="4" t="s">
        <v>74</v>
      </c>
      <c r="D221" s="4" t="s">
        <v>87</v>
      </c>
      <c r="E221" s="4" t="s">
        <v>121</v>
      </c>
      <c r="F221" s="4">
        <v>1</v>
      </c>
      <c r="G221" s="6">
        <f>IF('评分录入'!M69="纳入",1,0)</f>
        <v>0</v>
      </c>
      <c r="H221" s="6">
        <f>IF(ISNUMBER('评分录入'!AC69),1,0)</f>
        <v>0</v>
      </c>
      <c r="I221" s="6">
        <f>IF(AND(ISNUMBER('评分录入'!AC69),'评分录入'!AC69=1),1,0)</f>
        <v>0</v>
      </c>
      <c r="J221" s="6">
        <f>IF(AND(ISNUMBER('评分录入'!AC69),'评分录入'!AC69=0.5),1,0)</f>
        <v>0</v>
      </c>
      <c r="K221" s="6">
        <f>IF(AND(ISNUMBER('评分录入'!AC69),'评分录入'!AC69=0),1,0)</f>
        <v>0</v>
      </c>
      <c r="L221" s="6">
        <f>G221-H221</f>
        <v>0</v>
      </c>
      <c r="M221" s="7">
        <f>IF(H221=0,"",(I221+J221*0.5)/H221)</f>
        <v/>
      </c>
    </row>
    <row r="222" spans="1:13" ht="28" customHeight="1">
      <c r="A222" s="4" t="s">
        <v>72</v>
      </c>
      <c r="B222" s="4" t="s">
        <v>86</v>
      </c>
      <c r="C222" s="4" t="s">
        <v>74</v>
      </c>
      <c r="D222" s="4" t="s">
        <v>87</v>
      </c>
      <c r="E222" s="4" t="s">
        <v>122</v>
      </c>
      <c r="F222" s="4">
        <v>1</v>
      </c>
      <c r="G222" s="6">
        <f>IF('评分录入'!M69="纳入",1,0)</f>
        <v>0</v>
      </c>
      <c r="H222" s="6">
        <f>IF(ISNUMBER('评分录入'!AD69),1,0)</f>
        <v>0</v>
      </c>
      <c r="I222" s="6">
        <f>IF(AND(ISNUMBER('评分录入'!AD69),'评分录入'!AD69=1),1,0)</f>
        <v>0</v>
      </c>
      <c r="J222" s="6">
        <f>IF(AND(ISNUMBER('评分录入'!AD69),'评分录入'!AD69=0.5),1,0)</f>
        <v>0</v>
      </c>
      <c r="K222" s="6">
        <f>IF(AND(ISNUMBER('评分录入'!AD69),'评分录入'!AD69=0),1,0)</f>
        <v>0</v>
      </c>
      <c r="L222" s="6">
        <f>G222-H222</f>
        <v>0</v>
      </c>
      <c r="M222" s="7">
        <f>IF(H222=0,"",(I222+J222*0.5)/H222)</f>
        <v/>
      </c>
    </row>
    <row r="223" spans="1:13" ht="28" customHeight="1">
      <c r="A223" s="4" t="s">
        <v>72</v>
      </c>
      <c r="B223" s="4" t="s">
        <v>86</v>
      </c>
      <c r="C223" s="4" t="s">
        <v>74</v>
      </c>
      <c r="D223" s="4" t="s">
        <v>78</v>
      </c>
      <c r="E223" s="4" t="s">
        <v>117</v>
      </c>
      <c r="F223" s="4">
        <v>1</v>
      </c>
      <c r="G223" s="6">
        <f>IF('评分录入'!M13="纳入",1,0)</f>
        <v>0</v>
      </c>
      <c r="H223" s="6">
        <f>IF(ISNUMBER('评分录入'!T13),1,0)</f>
        <v>0</v>
      </c>
      <c r="I223" s="6">
        <f>IF(AND(ISNUMBER('评分录入'!T13),'评分录入'!T13=1),1,0)</f>
        <v>0</v>
      </c>
      <c r="J223" s="6">
        <f>IF(AND(ISNUMBER('评分录入'!T13),'评分录入'!T13=0.5),1,0)</f>
        <v>0</v>
      </c>
      <c r="K223" s="6">
        <f>IF(AND(ISNUMBER('评分录入'!T13),'评分录入'!T13=0),1,0)</f>
        <v>0</v>
      </c>
      <c r="L223" s="6">
        <f>G223-H223</f>
        <v>0</v>
      </c>
      <c r="M223" s="7">
        <f>IF(H223=0,"",(I223+J223*0.5)/H223)</f>
        <v/>
      </c>
    </row>
    <row r="224" spans="1:13" ht="28" customHeight="1">
      <c r="A224" s="4" t="s">
        <v>72</v>
      </c>
      <c r="B224" s="4" t="s">
        <v>86</v>
      </c>
      <c r="C224" s="4" t="s">
        <v>74</v>
      </c>
      <c r="D224" s="4" t="s">
        <v>78</v>
      </c>
      <c r="E224" s="4" t="s">
        <v>118</v>
      </c>
      <c r="F224" s="4">
        <v>1</v>
      </c>
      <c r="G224" s="6">
        <f>IF('评分录入'!M13="纳入",1,0)</f>
        <v>0</v>
      </c>
      <c r="H224" s="6">
        <f>IF(ISNUMBER('评分录入'!Z13),1,0)</f>
        <v>0</v>
      </c>
      <c r="I224" s="6">
        <f>IF(AND(ISNUMBER('评分录入'!Z13),'评分录入'!Z13=1),1,0)</f>
        <v>0</v>
      </c>
      <c r="J224" s="6">
        <f>IF(AND(ISNUMBER('评分录入'!Z13),'评分录入'!Z13=0.5),1,0)</f>
        <v>0</v>
      </c>
      <c r="K224" s="6">
        <f>IF(AND(ISNUMBER('评分录入'!Z13),'评分录入'!Z13=0),1,0)</f>
        <v>0</v>
      </c>
      <c r="L224" s="6">
        <f>G224-H224</f>
        <v>0</v>
      </c>
      <c r="M224" s="7">
        <f>IF(H224=0,"",(I224+J224*0.5)/H224)</f>
        <v/>
      </c>
    </row>
    <row r="225" spans="1:13" ht="28" customHeight="1">
      <c r="A225" s="4" t="s">
        <v>72</v>
      </c>
      <c r="B225" s="4" t="s">
        <v>86</v>
      </c>
      <c r="C225" s="4" t="s">
        <v>74</v>
      </c>
      <c r="D225" s="4" t="s">
        <v>78</v>
      </c>
      <c r="E225" s="4" t="s">
        <v>119</v>
      </c>
      <c r="F225" s="4">
        <v>1</v>
      </c>
      <c r="G225" s="6">
        <f>IF('评分录入'!M13="纳入",1,0)</f>
        <v>0</v>
      </c>
      <c r="H225" s="6">
        <f>IF(ISNUMBER('评分录入'!AA13),1,0)</f>
        <v>0</v>
      </c>
      <c r="I225" s="6">
        <f>IF(AND(ISNUMBER('评分录入'!AA13),'评分录入'!AA13=1),1,0)</f>
        <v>0</v>
      </c>
      <c r="J225" s="6">
        <f>IF(AND(ISNUMBER('评分录入'!AA13),'评分录入'!AA13=0.5),1,0)</f>
        <v>0</v>
      </c>
      <c r="K225" s="6">
        <f>IF(AND(ISNUMBER('评分录入'!AA13),'评分录入'!AA13=0),1,0)</f>
        <v>0</v>
      </c>
      <c r="L225" s="6">
        <f>G225-H225</f>
        <v>0</v>
      </c>
      <c r="M225" s="7">
        <f>IF(H225=0,"",(I225+J225*0.5)/H225)</f>
        <v/>
      </c>
    </row>
    <row r="226" spans="1:13" ht="28" customHeight="1">
      <c r="A226" s="4" t="s">
        <v>72</v>
      </c>
      <c r="B226" s="4" t="s">
        <v>86</v>
      </c>
      <c r="C226" s="4" t="s">
        <v>74</v>
      </c>
      <c r="D226" s="4" t="s">
        <v>78</v>
      </c>
      <c r="E226" s="4" t="s">
        <v>120</v>
      </c>
      <c r="F226" s="4">
        <v>1</v>
      </c>
      <c r="G226" s="6">
        <f>IF('评分录入'!M13="纳入",1,0)</f>
        <v>0</v>
      </c>
      <c r="H226" s="6">
        <f>IF(ISNUMBER('评分录入'!AB13),1,0)</f>
        <v>0</v>
      </c>
      <c r="I226" s="6">
        <f>IF(AND(ISNUMBER('评分录入'!AB13),'评分录入'!AB13=1),1,0)</f>
        <v>0</v>
      </c>
      <c r="J226" s="6">
        <f>IF(AND(ISNUMBER('评分录入'!AB13),'评分录入'!AB13=0.5),1,0)</f>
        <v>0</v>
      </c>
      <c r="K226" s="6">
        <f>IF(AND(ISNUMBER('评分录入'!AB13),'评分录入'!AB13=0),1,0)</f>
        <v>0</v>
      </c>
      <c r="L226" s="6">
        <f>G226-H226</f>
        <v>0</v>
      </c>
      <c r="M226" s="7">
        <f>IF(H226=0,"",(I226+J226*0.5)/H226)</f>
        <v/>
      </c>
    </row>
    <row r="227" spans="1:13" ht="28" customHeight="1">
      <c r="A227" s="4" t="s">
        <v>72</v>
      </c>
      <c r="B227" s="4" t="s">
        <v>86</v>
      </c>
      <c r="C227" s="4" t="s">
        <v>74</v>
      </c>
      <c r="D227" s="4" t="s">
        <v>78</v>
      </c>
      <c r="E227" s="4" t="s">
        <v>121</v>
      </c>
      <c r="F227" s="4">
        <v>1</v>
      </c>
      <c r="G227" s="6">
        <f>IF('评分录入'!M13="纳入",1,0)</f>
        <v>0</v>
      </c>
      <c r="H227" s="6">
        <f>IF(ISNUMBER('评分录入'!AC13),1,0)</f>
        <v>0</v>
      </c>
      <c r="I227" s="6">
        <f>IF(AND(ISNUMBER('评分录入'!AC13),'评分录入'!AC13=1),1,0)</f>
        <v>0</v>
      </c>
      <c r="J227" s="6">
        <f>IF(AND(ISNUMBER('评分录入'!AC13),'评分录入'!AC13=0.5),1,0)</f>
        <v>0</v>
      </c>
      <c r="K227" s="6">
        <f>IF(AND(ISNUMBER('评分录入'!AC13),'评分录入'!AC13=0),1,0)</f>
        <v>0</v>
      </c>
      <c r="L227" s="6">
        <f>G227-H227</f>
        <v>0</v>
      </c>
      <c r="M227" s="7">
        <f>IF(H227=0,"",(I227+J227*0.5)/H227)</f>
        <v/>
      </c>
    </row>
    <row r="228" spans="1:13" ht="28" customHeight="1">
      <c r="A228" s="4" t="s">
        <v>72</v>
      </c>
      <c r="B228" s="4" t="s">
        <v>86</v>
      </c>
      <c r="C228" s="4" t="s">
        <v>74</v>
      </c>
      <c r="D228" s="4" t="s">
        <v>78</v>
      </c>
      <c r="E228" s="4" t="s">
        <v>122</v>
      </c>
      <c r="F228" s="4">
        <v>1</v>
      </c>
      <c r="G228" s="6">
        <f>IF('评分录入'!M13="纳入",1,0)</f>
        <v>0</v>
      </c>
      <c r="H228" s="6">
        <f>IF(ISNUMBER('评分录入'!AD13),1,0)</f>
        <v>0</v>
      </c>
      <c r="I228" s="6">
        <f>IF(AND(ISNUMBER('评分录入'!AD13),'评分录入'!AD13=1),1,0)</f>
        <v>0</v>
      </c>
      <c r="J228" s="6">
        <f>IF(AND(ISNUMBER('评分录入'!AD13),'评分录入'!AD13=0.5),1,0)</f>
        <v>0</v>
      </c>
      <c r="K228" s="6">
        <f>IF(AND(ISNUMBER('评分录入'!AD13),'评分录入'!AD13=0),1,0)</f>
        <v>0</v>
      </c>
      <c r="L228" s="6">
        <f>G228-H228</f>
        <v>0</v>
      </c>
      <c r="M228" s="7">
        <f>IF(H228=0,"",(I228+J228*0.5)/H228)</f>
        <v/>
      </c>
    </row>
    <row r="229" spans="1:13" ht="28" customHeight="1">
      <c r="A229" s="4" t="s">
        <v>72</v>
      </c>
      <c r="B229" s="4" t="s">
        <v>86</v>
      </c>
      <c r="C229" s="4" t="s">
        <v>78</v>
      </c>
      <c r="D229" s="4" t="s">
        <v>75</v>
      </c>
      <c r="E229" s="4" t="s">
        <v>117</v>
      </c>
      <c r="F229" s="4">
        <v>2</v>
      </c>
      <c r="G229" s="6">
        <f>IF('评分录入'!M25="纳入",1,0)+IF('评分录入'!M41="纳入",1,0)</f>
        <v>0</v>
      </c>
      <c r="H229" s="6">
        <f>IF(ISNUMBER('评分录入'!T25),1,0)+IF(ISNUMBER('评分录入'!T41),1,0)</f>
        <v>0</v>
      </c>
      <c r="I229" s="6">
        <f>IF(AND(ISNUMBER('评分录入'!T25),'评分录入'!T25=1),1,0)+IF(AND(ISNUMBER('评分录入'!T41),'评分录入'!T41=1),1,0)</f>
        <v>0</v>
      </c>
      <c r="J229" s="6">
        <f>IF(AND(ISNUMBER('评分录入'!T25),'评分录入'!T25=0.5),1,0)+IF(AND(ISNUMBER('评分录入'!T41),'评分录入'!T41=0.5),1,0)</f>
        <v>0</v>
      </c>
      <c r="K229" s="6">
        <f>IF(AND(ISNUMBER('评分录入'!T25),'评分录入'!T25=0),1,0)+IF(AND(ISNUMBER('评分录入'!T41),'评分录入'!T41=0),1,0)</f>
        <v>0</v>
      </c>
      <c r="L229" s="6">
        <f>G229-H229</f>
        <v>0</v>
      </c>
      <c r="M229" s="7">
        <f>IF(H229=0,"",(I229+J229*0.5)/H229)</f>
        <v/>
      </c>
    </row>
    <row r="230" spans="1:13" ht="28" customHeight="1">
      <c r="A230" s="4" t="s">
        <v>72</v>
      </c>
      <c r="B230" s="4" t="s">
        <v>86</v>
      </c>
      <c r="C230" s="4" t="s">
        <v>78</v>
      </c>
      <c r="D230" s="4" t="s">
        <v>75</v>
      </c>
      <c r="E230" s="4" t="s">
        <v>118</v>
      </c>
      <c r="F230" s="4">
        <v>2</v>
      </c>
      <c r="G230" s="6">
        <f>IF('评分录入'!M25="纳入",1,0)+IF('评分录入'!M41="纳入",1,0)</f>
        <v>0</v>
      </c>
      <c r="H230" s="6">
        <f>IF(ISNUMBER('评分录入'!Z25),1,0)+IF(ISNUMBER('评分录入'!Z41),1,0)</f>
        <v>0</v>
      </c>
      <c r="I230" s="6">
        <f>IF(AND(ISNUMBER('评分录入'!Z25),'评分录入'!Z25=1),1,0)+IF(AND(ISNUMBER('评分录入'!Z41),'评分录入'!Z41=1),1,0)</f>
        <v>0</v>
      </c>
      <c r="J230" s="6">
        <f>IF(AND(ISNUMBER('评分录入'!Z25),'评分录入'!Z25=0.5),1,0)+IF(AND(ISNUMBER('评分录入'!Z41),'评分录入'!Z41=0.5),1,0)</f>
        <v>0</v>
      </c>
      <c r="K230" s="6">
        <f>IF(AND(ISNUMBER('评分录入'!Z25),'评分录入'!Z25=0),1,0)+IF(AND(ISNUMBER('评分录入'!Z41),'评分录入'!Z41=0),1,0)</f>
        <v>0</v>
      </c>
      <c r="L230" s="6">
        <f>G230-H230</f>
        <v>0</v>
      </c>
      <c r="M230" s="7">
        <f>IF(H230=0,"",(I230+J230*0.5)/H230)</f>
        <v/>
      </c>
    </row>
    <row r="231" spans="1:13" ht="28" customHeight="1">
      <c r="A231" s="4" t="s">
        <v>72</v>
      </c>
      <c r="B231" s="4" t="s">
        <v>86</v>
      </c>
      <c r="C231" s="4" t="s">
        <v>78</v>
      </c>
      <c r="D231" s="4" t="s">
        <v>75</v>
      </c>
      <c r="E231" s="4" t="s">
        <v>119</v>
      </c>
      <c r="F231" s="4">
        <v>2</v>
      </c>
      <c r="G231" s="6">
        <f>IF('评分录入'!M25="纳入",1,0)+IF('评分录入'!M41="纳入",1,0)</f>
        <v>0</v>
      </c>
      <c r="H231" s="6">
        <f>IF(ISNUMBER('评分录入'!AA25),1,0)+IF(ISNUMBER('评分录入'!AA41),1,0)</f>
        <v>0</v>
      </c>
      <c r="I231" s="6">
        <f>IF(AND(ISNUMBER('评分录入'!AA25),'评分录入'!AA25=1),1,0)+IF(AND(ISNUMBER('评分录入'!AA41),'评分录入'!AA41=1),1,0)</f>
        <v>0</v>
      </c>
      <c r="J231" s="6">
        <f>IF(AND(ISNUMBER('评分录入'!AA25),'评分录入'!AA25=0.5),1,0)+IF(AND(ISNUMBER('评分录入'!AA41),'评分录入'!AA41=0.5),1,0)</f>
        <v>0</v>
      </c>
      <c r="K231" s="6">
        <f>IF(AND(ISNUMBER('评分录入'!AA25),'评分录入'!AA25=0),1,0)+IF(AND(ISNUMBER('评分录入'!AA41),'评分录入'!AA41=0),1,0)</f>
        <v>0</v>
      </c>
      <c r="L231" s="6">
        <f>G231-H231</f>
        <v>0</v>
      </c>
      <c r="M231" s="7">
        <f>IF(H231=0,"",(I231+J231*0.5)/H231)</f>
        <v/>
      </c>
    </row>
    <row r="232" spans="1:13" ht="28" customHeight="1">
      <c r="A232" s="4" t="s">
        <v>72</v>
      </c>
      <c r="B232" s="4" t="s">
        <v>86</v>
      </c>
      <c r="C232" s="4" t="s">
        <v>78</v>
      </c>
      <c r="D232" s="4" t="s">
        <v>75</v>
      </c>
      <c r="E232" s="4" t="s">
        <v>120</v>
      </c>
      <c r="F232" s="4">
        <v>2</v>
      </c>
      <c r="G232" s="6">
        <f>IF('评分录入'!M25="纳入",1,0)+IF('评分录入'!M41="纳入",1,0)</f>
        <v>0</v>
      </c>
      <c r="H232" s="6">
        <f>IF(ISNUMBER('评分录入'!AB25),1,0)+IF(ISNUMBER('评分录入'!AB41),1,0)</f>
        <v>0</v>
      </c>
      <c r="I232" s="6">
        <f>IF(AND(ISNUMBER('评分录入'!AB25),'评分录入'!AB25=1),1,0)+IF(AND(ISNUMBER('评分录入'!AB41),'评分录入'!AB41=1),1,0)</f>
        <v>0</v>
      </c>
      <c r="J232" s="6">
        <f>IF(AND(ISNUMBER('评分录入'!AB25),'评分录入'!AB25=0.5),1,0)+IF(AND(ISNUMBER('评分录入'!AB41),'评分录入'!AB41=0.5),1,0)</f>
        <v>0</v>
      </c>
      <c r="K232" s="6">
        <f>IF(AND(ISNUMBER('评分录入'!AB25),'评分录入'!AB25=0),1,0)+IF(AND(ISNUMBER('评分录入'!AB41),'评分录入'!AB41=0),1,0)</f>
        <v>0</v>
      </c>
      <c r="L232" s="6">
        <f>G232-H232</f>
        <v>0</v>
      </c>
      <c r="M232" s="7">
        <f>IF(H232=0,"",(I232+J232*0.5)/H232)</f>
        <v/>
      </c>
    </row>
    <row r="233" spans="1:13" ht="28" customHeight="1">
      <c r="A233" s="4" t="s">
        <v>72</v>
      </c>
      <c r="B233" s="4" t="s">
        <v>86</v>
      </c>
      <c r="C233" s="4" t="s">
        <v>78</v>
      </c>
      <c r="D233" s="4" t="s">
        <v>75</v>
      </c>
      <c r="E233" s="4" t="s">
        <v>121</v>
      </c>
      <c r="F233" s="4">
        <v>2</v>
      </c>
      <c r="G233" s="6">
        <f>IF('评分录入'!M25="纳入",1,0)+IF('评分录入'!M41="纳入",1,0)</f>
        <v>0</v>
      </c>
      <c r="H233" s="6">
        <f>IF(ISNUMBER('评分录入'!AC25),1,0)+IF(ISNUMBER('评分录入'!AC41),1,0)</f>
        <v>0</v>
      </c>
      <c r="I233" s="6">
        <f>IF(AND(ISNUMBER('评分录入'!AC25),'评分录入'!AC25=1),1,0)+IF(AND(ISNUMBER('评分录入'!AC41),'评分录入'!AC41=1),1,0)</f>
        <v>0</v>
      </c>
      <c r="J233" s="6">
        <f>IF(AND(ISNUMBER('评分录入'!AC25),'评分录入'!AC25=0.5),1,0)+IF(AND(ISNUMBER('评分录入'!AC41),'评分录入'!AC41=0.5),1,0)</f>
        <v>0</v>
      </c>
      <c r="K233" s="6">
        <f>IF(AND(ISNUMBER('评分录入'!AC25),'评分录入'!AC25=0),1,0)+IF(AND(ISNUMBER('评分录入'!AC41),'评分录入'!AC41=0),1,0)</f>
        <v>0</v>
      </c>
      <c r="L233" s="6">
        <f>G233-H233</f>
        <v>0</v>
      </c>
      <c r="M233" s="7">
        <f>IF(H233=0,"",(I233+J233*0.5)/H233)</f>
        <v/>
      </c>
    </row>
    <row r="234" spans="1:13" ht="28" customHeight="1">
      <c r="A234" s="4" t="s">
        <v>72</v>
      </c>
      <c r="B234" s="4" t="s">
        <v>86</v>
      </c>
      <c r="C234" s="4" t="s">
        <v>78</v>
      </c>
      <c r="D234" s="4" t="s">
        <v>75</v>
      </c>
      <c r="E234" s="4" t="s">
        <v>122</v>
      </c>
      <c r="F234" s="4">
        <v>2</v>
      </c>
      <c r="G234" s="6">
        <f>IF('评分录入'!M25="纳入",1,0)+IF('评分录入'!M41="纳入",1,0)</f>
        <v>0</v>
      </c>
      <c r="H234" s="6">
        <f>IF(ISNUMBER('评分录入'!AD25),1,0)+IF(ISNUMBER('评分录入'!AD41),1,0)</f>
        <v>0</v>
      </c>
      <c r="I234" s="6">
        <f>IF(AND(ISNUMBER('评分录入'!AD25),'评分录入'!AD25=1),1,0)+IF(AND(ISNUMBER('评分录入'!AD41),'评分录入'!AD41=1),1,0)</f>
        <v>0</v>
      </c>
      <c r="J234" s="6">
        <f>IF(AND(ISNUMBER('评分录入'!AD25),'评分录入'!AD25=0.5),1,0)+IF(AND(ISNUMBER('评分录入'!AD41),'评分录入'!AD41=0.5),1,0)</f>
        <v>0</v>
      </c>
      <c r="K234" s="6">
        <f>IF(AND(ISNUMBER('评分录入'!AD25),'评分录入'!AD25=0),1,0)+IF(AND(ISNUMBER('评分录入'!AD41),'评分录入'!AD41=0),1,0)</f>
        <v>0</v>
      </c>
      <c r="L234" s="6">
        <f>G234-H234</f>
        <v>0</v>
      </c>
      <c r="M234" s="7">
        <f>IF(H234=0,"",(I234+J234*0.5)/H234)</f>
        <v/>
      </c>
    </row>
    <row r="235" spans="1:13" ht="28" customHeight="1">
      <c r="A235" s="4" t="s">
        <v>72</v>
      </c>
      <c r="B235" s="4" t="s">
        <v>86</v>
      </c>
      <c r="C235" s="4" t="s">
        <v>74</v>
      </c>
      <c r="D235" s="4" t="s">
        <v>75</v>
      </c>
      <c r="E235" s="4" t="s">
        <v>117</v>
      </c>
      <c r="F235" s="4">
        <v>1</v>
      </c>
      <c r="G235" s="6">
        <f>IF('评分录入'!M64="纳入",1,0)</f>
        <v>0</v>
      </c>
      <c r="H235" s="6">
        <f>IF(ISNUMBER('评分录入'!T64),1,0)</f>
        <v>0</v>
      </c>
      <c r="I235" s="6">
        <f>IF(AND(ISNUMBER('评分录入'!T64),'评分录入'!T64=1),1,0)</f>
        <v>0</v>
      </c>
      <c r="J235" s="6">
        <f>IF(AND(ISNUMBER('评分录入'!T64),'评分录入'!T64=0.5),1,0)</f>
        <v>0</v>
      </c>
      <c r="K235" s="6">
        <f>IF(AND(ISNUMBER('评分录入'!T64),'评分录入'!T64=0),1,0)</f>
        <v>0</v>
      </c>
      <c r="L235" s="6">
        <f>G235-H235</f>
        <v>0</v>
      </c>
      <c r="M235" s="7">
        <f>IF(H235=0,"",(I235+J235*0.5)/H235)</f>
        <v/>
      </c>
    </row>
    <row r="236" spans="1:13" ht="28" customHeight="1">
      <c r="A236" s="4" t="s">
        <v>72</v>
      </c>
      <c r="B236" s="4" t="s">
        <v>86</v>
      </c>
      <c r="C236" s="4" t="s">
        <v>74</v>
      </c>
      <c r="D236" s="4" t="s">
        <v>75</v>
      </c>
      <c r="E236" s="4" t="s">
        <v>118</v>
      </c>
      <c r="F236" s="4">
        <v>1</v>
      </c>
      <c r="G236" s="6">
        <f>IF('评分录入'!M64="纳入",1,0)</f>
        <v>0</v>
      </c>
      <c r="H236" s="6">
        <f>IF(ISNUMBER('评分录入'!Z64),1,0)</f>
        <v>0</v>
      </c>
      <c r="I236" s="6">
        <f>IF(AND(ISNUMBER('评分录入'!Z64),'评分录入'!Z64=1),1,0)</f>
        <v>0</v>
      </c>
      <c r="J236" s="6">
        <f>IF(AND(ISNUMBER('评分录入'!Z64),'评分录入'!Z64=0.5),1,0)</f>
        <v>0</v>
      </c>
      <c r="K236" s="6">
        <f>IF(AND(ISNUMBER('评分录入'!Z64),'评分录入'!Z64=0),1,0)</f>
        <v>0</v>
      </c>
      <c r="L236" s="6">
        <f>G236-H236</f>
        <v>0</v>
      </c>
      <c r="M236" s="7">
        <f>IF(H236=0,"",(I236+J236*0.5)/H236)</f>
        <v/>
      </c>
    </row>
    <row r="237" spans="1:13" ht="28" customHeight="1">
      <c r="A237" s="4" t="s">
        <v>72</v>
      </c>
      <c r="B237" s="4" t="s">
        <v>86</v>
      </c>
      <c r="C237" s="4" t="s">
        <v>74</v>
      </c>
      <c r="D237" s="4" t="s">
        <v>75</v>
      </c>
      <c r="E237" s="4" t="s">
        <v>119</v>
      </c>
      <c r="F237" s="4">
        <v>1</v>
      </c>
      <c r="G237" s="6">
        <f>IF('评分录入'!M64="纳入",1,0)</f>
        <v>0</v>
      </c>
      <c r="H237" s="6">
        <f>IF(ISNUMBER('评分录入'!AA64),1,0)</f>
        <v>0</v>
      </c>
      <c r="I237" s="6">
        <f>IF(AND(ISNUMBER('评分录入'!AA64),'评分录入'!AA64=1),1,0)</f>
        <v>0</v>
      </c>
      <c r="J237" s="6">
        <f>IF(AND(ISNUMBER('评分录入'!AA64),'评分录入'!AA64=0.5),1,0)</f>
        <v>0</v>
      </c>
      <c r="K237" s="6">
        <f>IF(AND(ISNUMBER('评分录入'!AA64),'评分录入'!AA64=0),1,0)</f>
        <v>0</v>
      </c>
      <c r="L237" s="6">
        <f>G237-H237</f>
        <v>0</v>
      </c>
      <c r="M237" s="7">
        <f>IF(H237=0,"",(I237+J237*0.5)/H237)</f>
        <v/>
      </c>
    </row>
    <row r="238" spans="1:13" ht="28" customHeight="1">
      <c r="A238" s="4" t="s">
        <v>72</v>
      </c>
      <c r="B238" s="4" t="s">
        <v>86</v>
      </c>
      <c r="C238" s="4" t="s">
        <v>74</v>
      </c>
      <c r="D238" s="4" t="s">
        <v>75</v>
      </c>
      <c r="E238" s="4" t="s">
        <v>120</v>
      </c>
      <c r="F238" s="4">
        <v>1</v>
      </c>
      <c r="G238" s="6">
        <f>IF('评分录入'!M64="纳入",1,0)</f>
        <v>0</v>
      </c>
      <c r="H238" s="6">
        <f>IF(ISNUMBER('评分录入'!AB64),1,0)</f>
        <v>0</v>
      </c>
      <c r="I238" s="6">
        <f>IF(AND(ISNUMBER('评分录入'!AB64),'评分录入'!AB64=1),1,0)</f>
        <v>0</v>
      </c>
      <c r="J238" s="6">
        <f>IF(AND(ISNUMBER('评分录入'!AB64),'评分录入'!AB64=0.5),1,0)</f>
        <v>0</v>
      </c>
      <c r="K238" s="6">
        <f>IF(AND(ISNUMBER('评分录入'!AB64),'评分录入'!AB64=0),1,0)</f>
        <v>0</v>
      </c>
      <c r="L238" s="6">
        <f>G238-H238</f>
        <v>0</v>
      </c>
      <c r="M238" s="7">
        <f>IF(H238=0,"",(I238+J238*0.5)/H238)</f>
        <v/>
      </c>
    </row>
    <row r="239" spans="1:13" ht="28" customHeight="1">
      <c r="A239" s="4" t="s">
        <v>72</v>
      </c>
      <c r="B239" s="4" t="s">
        <v>86</v>
      </c>
      <c r="C239" s="4" t="s">
        <v>74</v>
      </c>
      <c r="D239" s="4" t="s">
        <v>75</v>
      </c>
      <c r="E239" s="4" t="s">
        <v>121</v>
      </c>
      <c r="F239" s="4">
        <v>1</v>
      </c>
      <c r="G239" s="6">
        <f>IF('评分录入'!M64="纳入",1,0)</f>
        <v>0</v>
      </c>
      <c r="H239" s="6">
        <f>IF(ISNUMBER('评分录入'!AC64),1,0)</f>
        <v>0</v>
      </c>
      <c r="I239" s="6">
        <f>IF(AND(ISNUMBER('评分录入'!AC64),'评分录入'!AC64=1),1,0)</f>
        <v>0</v>
      </c>
      <c r="J239" s="6">
        <f>IF(AND(ISNUMBER('评分录入'!AC64),'评分录入'!AC64=0.5),1,0)</f>
        <v>0</v>
      </c>
      <c r="K239" s="6">
        <f>IF(AND(ISNUMBER('评分录入'!AC64),'评分录入'!AC64=0),1,0)</f>
        <v>0</v>
      </c>
      <c r="L239" s="6">
        <f>G239-H239</f>
        <v>0</v>
      </c>
      <c r="M239" s="7">
        <f>IF(H239=0,"",(I239+J239*0.5)/H239)</f>
        <v/>
      </c>
    </row>
    <row r="240" spans="1:13" ht="28" customHeight="1">
      <c r="A240" s="4" t="s">
        <v>72</v>
      </c>
      <c r="B240" s="4" t="s">
        <v>86</v>
      </c>
      <c r="C240" s="4" t="s">
        <v>74</v>
      </c>
      <c r="D240" s="4" t="s">
        <v>75</v>
      </c>
      <c r="E240" s="4" t="s">
        <v>122</v>
      </c>
      <c r="F240" s="4">
        <v>1</v>
      </c>
      <c r="G240" s="6">
        <f>IF('评分录入'!M64="纳入",1,0)</f>
        <v>0</v>
      </c>
      <c r="H240" s="6">
        <f>IF(ISNUMBER('评分录入'!AD64),1,0)</f>
        <v>0</v>
      </c>
      <c r="I240" s="6">
        <f>IF(AND(ISNUMBER('评分录入'!AD64),'评分录入'!AD64=1),1,0)</f>
        <v>0</v>
      </c>
      <c r="J240" s="6">
        <f>IF(AND(ISNUMBER('评分录入'!AD64),'评分录入'!AD64=0.5),1,0)</f>
        <v>0</v>
      </c>
      <c r="K240" s="6">
        <f>IF(AND(ISNUMBER('评分录入'!AD64),'评分录入'!AD64=0),1,0)</f>
        <v>0</v>
      </c>
      <c r="L240" s="6">
        <f>G240-H240</f>
        <v>0</v>
      </c>
      <c r="M240" s="7">
        <f>IF(H240=0,"",(I240+J240*0.5)/H240)</f>
        <v/>
      </c>
    </row>
    <row r="241" spans="1:13" ht="28" customHeight="1">
      <c r="A241" s="4" t="s">
        <v>72</v>
      </c>
      <c r="B241" s="4" t="s">
        <v>86</v>
      </c>
      <c r="C241" s="4" t="s">
        <v>79</v>
      </c>
      <c r="D241" s="4" t="s">
        <v>75</v>
      </c>
      <c r="E241" s="4" t="s">
        <v>117</v>
      </c>
      <c r="F241" s="4">
        <v>1</v>
      </c>
      <c r="G241" s="6">
        <f>IF('评分录入'!M60="纳入",1,0)</f>
        <v>0</v>
      </c>
      <c r="H241" s="6">
        <f>IF(ISNUMBER('评分录入'!T60),1,0)</f>
        <v>0</v>
      </c>
      <c r="I241" s="6">
        <f>IF(AND(ISNUMBER('评分录入'!T60),'评分录入'!T60=1),1,0)</f>
        <v>0</v>
      </c>
      <c r="J241" s="6">
        <f>IF(AND(ISNUMBER('评分录入'!T60),'评分录入'!T60=0.5),1,0)</f>
        <v>0</v>
      </c>
      <c r="K241" s="6">
        <f>IF(AND(ISNUMBER('评分录入'!T60),'评分录入'!T60=0),1,0)</f>
        <v>0</v>
      </c>
      <c r="L241" s="6">
        <f>G241-H241</f>
        <v>0</v>
      </c>
      <c r="M241" s="7">
        <f>IF(H241=0,"",(I241+J241*0.5)/H241)</f>
        <v/>
      </c>
    </row>
    <row r="242" spans="1:13" ht="28" customHeight="1">
      <c r="A242" s="4" t="s">
        <v>72</v>
      </c>
      <c r="B242" s="4" t="s">
        <v>86</v>
      </c>
      <c r="C242" s="4" t="s">
        <v>79</v>
      </c>
      <c r="D242" s="4" t="s">
        <v>75</v>
      </c>
      <c r="E242" s="4" t="s">
        <v>118</v>
      </c>
      <c r="F242" s="4">
        <v>1</v>
      </c>
      <c r="G242" s="6">
        <f>IF('评分录入'!M60="纳入",1,0)</f>
        <v>0</v>
      </c>
      <c r="H242" s="6">
        <f>IF(ISNUMBER('评分录入'!Z60),1,0)</f>
        <v>0</v>
      </c>
      <c r="I242" s="6">
        <f>IF(AND(ISNUMBER('评分录入'!Z60),'评分录入'!Z60=1),1,0)</f>
        <v>0</v>
      </c>
      <c r="J242" s="6">
        <f>IF(AND(ISNUMBER('评分录入'!Z60),'评分录入'!Z60=0.5),1,0)</f>
        <v>0</v>
      </c>
      <c r="K242" s="6">
        <f>IF(AND(ISNUMBER('评分录入'!Z60),'评分录入'!Z60=0),1,0)</f>
        <v>0</v>
      </c>
      <c r="L242" s="6">
        <f>G242-H242</f>
        <v>0</v>
      </c>
      <c r="M242" s="7">
        <f>IF(H242=0,"",(I242+J242*0.5)/H242)</f>
        <v/>
      </c>
    </row>
    <row r="243" spans="1:13" ht="28" customHeight="1">
      <c r="A243" s="4" t="s">
        <v>72</v>
      </c>
      <c r="B243" s="4" t="s">
        <v>86</v>
      </c>
      <c r="C243" s="4" t="s">
        <v>79</v>
      </c>
      <c r="D243" s="4" t="s">
        <v>75</v>
      </c>
      <c r="E243" s="4" t="s">
        <v>119</v>
      </c>
      <c r="F243" s="4">
        <v>1</v>
      </c>
      <c r="G243" s="6">
        <f>IF('评分录入'!M60="纳入",1,0)</f>
        <v>0</v>
      </c>
      <c r="H243" s="6">
        <f>IF(ISNUMBER('评分录入'!AA60),1,0)</f>
        <v>0</v>
      </c>
      <c r="I243" s="6">
        <f>IF(AND(ISNUMBER('评分录入'!AA60),'评分录入'!AA60=1),1,0)</f>
        <v>0</v>
      </c>
      <c r="J243" s="6">
        <f>IF(AND(ISNUMBER('评分录入'!AA60),'评分录入'!AA60=0.5),1,0)</f>
        <v>0</v>
      </c>
      <c r="K243" s="6">
        <f>IF(AND(ISNUMBER('评分录入'!AA60),'评分录入'!AA60=0),1,0)</f>
        <v>0</v>
      </c>
      <c r="L243" s="6">
        <f>G243-H243</f>
        <v>0</v>
      </c>
      <c r="M243" s="7">
        <f>IF(H243=0,"",(I243+J243*0.5)/H243)</f>
        <v/>
      </c>
    </row>
    <row r="244" spans="1:13" ht="28" customHeight="1">
      <c r="A244" s="4" t="s">
        <v>72</v>
      </c>
      <c r="B244" s="4" t="s">
        <v>86</v>
      </c>
      <c r="C244" s="4" t="s">
        <v>79</v>
      </c>
      <c r="D244" s="4" t="s">
        <v>75</v>
      </c>
      <c r="E244" s="4" t="s">
        <v>120</v>
      </c>
      <c r="F244" s="4">
        <v>1</v>
      </c>
      <c r="G244" s="6">
        <f>IF('评分录入'!M60="纳入",1,0)</f>
        <v>0</v>
      </c>
      <c r="H244" s="6">
        <f>IF(ISNUMBER('评分录入'!AB60),1,0)</f>
        <v>0</v>
      </c>
      <c r="I244" s="6">
        <f>IF(AND(ISNUMBER('评分录入'!AB60),'评分录入'!AB60=1),1,0)</f>
        <v>0</v>
      </c>
      <c r="J244" s="6">
        <f>IF(AND(ISNUMBER('评分录入'!AB60),'评分录入'!AB60=0.5),1,0)</f>
        <v>0</v>
      </c>
      <c r="K244" s="6">
        <f>IF(AND(ISNUMBER('评分录入'!AB60),'评分录入'!AB60=0),1,0)</f>
        <v>0</v>
      </c>
      <c r="L244" s="6">
        <f>G244-H244</f>
        <v>0</v>
      </c>
      <c r="M244" s="7">
        <f>IF(H244=0,"",(I244+J244*0.5)/H244)</f>
        <v/>
      </c>
    </row>
    <row r="245" spans="1:13" ht="28" customHeight="1">
      <c r="A245" s="4" t="s">
        <v>72</v>
      </c>
      <c r="B245" s="4" t="s">
        <v>86</v>
      </c>
      <c r="C245" s="4" t="s">
        <v>79</v>
      </c>
      <c r="D245" s="4" t="s">
        <v>75</v>
      </c>
      <c r="E245" s="4" t="s">
        <v>121</v>
      </c>
      <c r="F245" s="4">
        <v>1</v>
      </c>
      <c r="G245" s="6">
        <f>IF('评分录入'!M60="纳入",1,0)</f>
        <v>0</v>
      </c>
      <c r="H245" s="6">
        <f>IF(ISNUMBER('评分录入'!AC60),1,0)</f>
        <v>0</v>
      </c>
      <c r="I245" s="6">
        <f>IF(AND(ISNUMBER('评分录入'!AC60),'评分录入'!AC60=1),1,0)</f>
        <v>0</v>
      </c>
      <c r="J245" s="6">
        <f>IF(AND(ISNUMBER('评分录入'!AC60),'评分录入'!AC60=0.5),1,0)</f>
        <v>0</v>
      </c>
      <c r="K245" s="6">
        <f>IF(AND(ISNUMBER('评分录入'!AC60),'评分录入'!AC60=0),1,0)</f>
        <v>0</v>
      </c>
      <c r="L245" s="6">
        <f>G245-H245</f>
        <v>0</v>
      </c>
      <c r="M245" s="7">
        <f>IF(H245=0,"",(I245+J245*0.5)/H245)</f>
        <v/>
      </c>
    </row>
    <row r="246" spans="1:13" ht="28" customHeight="1">
      <c r="A246" s="4" t="s">
        <v>72</v>
      </c>
      <c r="B246" s="4" t="s">
        <v>86</v>
      </c>
      <c r="C246" s="4" t="s">
        <v>79</v>
      </c>
      <c r="D246" s="4" t="s">
        <v>75</v>
      </c>
      <c r="E246" s="4" t="s">
        <v>122</v>
      </c>
      <c r="F246" s="4">
        <v>1</v>
      </c>
      <c r="G246" s="6">
        <f>IF('评分录入'!M60="纳入",1,0)</f>
        <v>0</v>
      </c>
      <c r="H246" s="6">
        <f>IF(ISNUMBER('评分录入'!AD60),1,0)</f>
        <v>0</v>
      </c>
      <c r="I246" s="6">
        <f>IF(AND(ISNUMBER('评分录入'!AD60),'评分录入'!AD60=1),1,0)</f>
        <v>0</v>
      </c>
      <c r="J246" s="6">
        <f>IF(AND(ISNUMBER('评分录入'!AD60),'评分录入'!AD60=0.5),1,0)</f>
        <v>0</v>
      </c>
      <c r="K246" s="6">
        <f>IF(AND(ISNUMBER('评分录入'!AD60),'评分录入'!AD60=0),1,0)</f>
        <v>0</v>
      </c>
      <c r="L246" s="6">
        <f>G246-H246</f>
        <v>0</v>
      </c>
      <c r="M246" s="7">
        <f>IF(H246=0,"",(I246+J246*0.5)/H246)</f>
        <v/>
      </c>
    </row>
    <row r="247" spans="1:13" ht="28" customHeight="1">
      <c r="A247" s="4" t="s">
        <v>72</v>
      </c>
      <c r="B247" s="4" t="s">
        <v>86</v>
      </c>
      <c r="C247" s="4" t="s">
        <v>79</v>
      </c>
      <c r="D247" s="4" t="s">
        <v>87</v>
      </c>
      <c r="E247" s="4" t="s">
        <v>117</v>
      </c>
      <c r="F247" s="4">
        <v>1</v>
      </c>
      <c r="G247" s="6">
        <f>IF('评分录入'!M10="纳入",1,0)</f>
        <v>0</v>
      </c>
      <c r="H247" s="6">
        <f>IF(ISNUMBER('评分录入'!T10),1,0)</f>
        <v>0</v>
      </c>
      <c r="I247" s="6">
        <f>IF(AND(ISNUMBER('评分录入'!T10),'评分录入'!T10=1),1,0)</f>
        <v>0</v>
      </c>
      <c r="J247" s="6">
        <f>IF(AND(ISNUMBER('评分录入'!T10),'评分录入'!T10=0.5),1,0)</f>
        <v>0</v>
      </c>
      <c r="K247" s="6">
        <f>IF(AND(ISNUMBER('评分录入'!T10),'评分录入'!T10=0),1,0)</f>
        <v>0</v>
      </c>
      <c r="L247" s="6">
        <f>G247-H247</f>
        <v>0</v>
      </c>
      <c r="M247" s="7">
        <f>IF(H247=0,"",(I247+J247*0.5)/H247)</f>
        <v/>
      </c>
    </row>
    <row r="248" spans="1:13" ht="28" customHeight="1">
      <c r="A248" s="4" t="s">
        <v>72</v>
      </c>
      <c r="B248" s="4" t="s">
        <v>86</v>
      </c>
      <c r="C248" s="4" t="s">
        <v>79</v>
      </c>
      <c r="D248" s="4" t="s">
        <v>87</v>
      </c>
      <c r="E248" s="4" t="s">
        <v>118</v>
      </c>
      <c r="F248" s="4">
        <v>1</v>
      </c>
      <c r="G248" s="6">
        <f>IF('评分录入'!M10="纳入",1,0)</f>
        <v>0</v>
      </c>
      <c r="H248" s="6">
        <f>IF(ISNUMBER('评分录入'!Z10),1,0)</f>
        <v>0</v>
      </c>
      <c r="I248" s="6">
        <f>IF(AND(ISNUMBER('评分录入'!Z10),'评分录入'!Z10=1),1,0)</f>
        <v>0</v>
      </c>
      <c r="J248" s="6">
        <f>IF(AND(ISNUMBER('评分录入'!Z10),'评分录入'!Z10=0.5),1,0)</f>
        <v>0</v>
      </c>
      <c r="K248" s="6">
        <f>IF(AND(ISNUMBER('评分录入'!Z10),'评分录入'!Z10=0),1,0)</f>
        <v>0</v>
      </c>
      <c r="L248" s="6">
        <f>G248-H248</f>
        <v>0</v>
      </c>
      <c r="M248" s="7">
        <f>IF(H248=0,"",(I248+J248*0.5)/H248)</f>
        <v/>
      </c>
    </row>
    <row r="249" spans="1:13" ht="28" customHeight="1">
      <c r="A249" s="4" t="s">
        <v>72</v>
      </c>
      <c r="B249" s="4" t="s">
        <v>86</v>
      </c>
      <c r="C249" s="4" t="s">
        <v>79</v>
      </c>
      <c r="D249" s="4" t="s">
        <v>87</v>
      </c>
      <c r="E249" s="4" t="s">
        <v>119</v>
      </c>
      <c r="F249" s="4">
        <v>1</v>
      </c>
      <c r="G249" s="6">
        <f>IF('评分录入'!M10="纳入",1,0)</f>
        <v>0</v>
      </c>
      <c r="H249" s="6">
        <f>IF(ISNUMBER('评分录入'!AA10),1,0)</f>
        <v>0</v>
      </c>
      <c r="I249" s="6">
        <f>IF(AND(ISNUMBER('评分录入'!AA10),'评分录入'!AA10=1),1,0)</f>
        <v>0</v>
      </c>
      <c r="J249" s="6">
        <f>IF(AND(ISNUMBER('评分录入'!AA10),'评分录入'!AA10=0.5),1,0)</f>
        <v>0</v>
      </c>
      <c r="K249" s="6">
        <f>IF(AND(ISNUMBER('评分录入'!AA10),'评分录入'!AA10=0),1,0)</f>
        <v>0</v>
      </c>
      <c r="L249" s="6">
        <f>G249-H249</f>
        <v>0</v>
      </c>
      <c r="M249" s="7">
        <f>IF(H249=0,"",(I249+J249*0.5)/H249)</f>
        <v/>
      </c>
    </row>
    <row r="250" spans="1:13" ht="28" customHeight="1">
      <c r="A250" s="4" t="s">
        <v>72</v>
      </c>
      <c r="B250" s="4" t="s">
        <v>86</v>
      </c>
      <c r="C250" s="4" t="s">
        <v>79</v>
      </c>
      <c r="D250" s="4" t="s">
        <v>87</v>
      </c>
      <c r="E250" s="4" t="s">
        <v>120</v>
      </c>
      <c r="F250" s="4">
        <v>1</v>
      </c>
      <c r="G250" s="6">
        <f>IF('评分录入'!M10="纳入",1,0)</f>
        <v>0</v>
      </c>
      <c r="H250" s="6">
        <f>IF(ISNUMBER('评分录入'!AB10),1,0)</f>
        <v>0</v>
      </c>
      <c r="I250" s="6">
        <f>IF(AND(ISNUMBER('评分录入'!AB10),'评分录入'!AB10=1),1,0)</f>
        <v>0</v>
      </c>
      <c r="J250" s="6">
        <f>IF(AND(ISNUMBER('评分录入'!AB10),'评分录入'!AB10=0.5),1,0)</f>
        <v>0</v>
      </c>
      <c r="K250" s="6">
        <f>IF(AND(ISNUMBER('评分录入'!AB10),'评分录入'!AB10=0),1,0)</f>
        <v>0</v>
      </c>
      <c r="L250" s="6">
        <f>G250-H250</f>
        <v>0</v>
      </c>
      <c r="M250" s="7">
        <f>IF(H250=0,"",(I250+J250*0.5)/H250)</f>
        <v/>
      </c>
    </row>
    <row r="251" spans="1:13" ht="28" customHeight="1">
      <c r="A251" s="4" t="s">
        <v>72</v>
      </c>
      <c r="B251" s="4" t="s">
        <v>86</v>
      </c>
      <c r="C251" s="4" t="s">
        <v>79</v>
      </c>
      <c r="D251" s="4" t="s">
        <v>87</v>
      </c>
      <c r="E251" s="4" t="s">
        <v>121</v>
      </c>
      <c r="F251" s="4">
        <v>1</v>
      </c>
      <c r="G251" s="6">
        <f>IF('评分录入'!M10="纳入",1,0)</f>
        <v>0</v>
      </c>
      <c r="H251" s="6">
        <f>IF(ISNUMBER('评分录入'!AC10),1,0)</f>
        <v>0</v>
      </c>
      <c r="I251" s="6">
        <f>IF(AND(ISNUMBER('评分录入'!AC10),'评分录入'!AC10=1),1,0)</f>
        <v>0</v>
      </c>
      <c r="J251" s="6">
        <f>IF(AND(ISNUMBER('评分录入'!AC10),'评分录入'!AC10=0.5),1,0)</f>
        <v>0</v>
      </c>
      <c r="K251" s="6">
        <f>IF(AND(ISNUMBER('评分录入'!AC10),'评分录入'!AC10=0),1,0)</f>
        <v>0</v>
      </c>
      <c r="L251" s="6">
        <f>G251-H251</f>
        <v>0</v>
      </c>
      <c r="M251" s="7">
        <f>IF(H251=0,"",(I251+J251*0.5)/H251)</f>
        <v/>
      </c>
    </row>
    <row r="252" spans="1:13" ht="28" customHeight="1">
      <c r="A252" s="4" t="s">
        <v>72</v>
      </c>
      <c r="B252" s="4" t="s">
        <v>86</v>
      </c>
      <c r="C252" s="4" t="s">
        <v>79</v>
      </c>
      <c r="D252" s="4" t="s">
        <v>87</v>
      </c>
      <c r="E252" s="4" t="s">
        <v>122</v>
      </c>
      <c r="F252" s="4">
        <v>1</v>
      </c>
      <c r="G252" s="6">
        <f>IF('评分录入'!M10="纳入",1,0)</f>
        <v>0</v>
      </c>
      <c r="H252" s="6">
        <f>IF(ISNUMBER('评分录入'!AD10),1,0)</f>
        <v>0</v>
      </c>
      <c r="I252" s="6">
        <f>IF(AND(ISNUMBER('评分录入'!AD10),'评分录入'!AD10=1),1,0)</f>
        <v>0</v>
      </c>
      <c r="J252" s="6">
        <f>IF(AND(ISNUMBER('评分录入'!AD10),'评分录入'!AD10=0.5),1,0)</f>
        <v>0</v>
      </c>
      <c r="K252" s="6">
        <f>IF(AND(ISNUMBER('评分录入'!AD10),'评分录入'!AD10=0),1,0)</f>
        <v>0</v>
      </c>
      <c r="L252" s="6">
        <f>G252-H252</f>
        <v>0</v>
      </c>
      <c r="M252" s="7">
        <f>IF(H252=0,"",(I252+J252*0.5)/H252)</f>
        <v/>
      </c>
    </row>
    <row r="253" spans="1:13" ht="28" customHeight="1">
      <c r="A253" s="4" t="s">
        <v>72</v>
      </c>
      <c r="B253" s="4" t="s">
        <v>73</v>
      </c>
      <c r="C253" s="4" t="s">
        <v>79</v>
      </c>
      <c r="D253" s="4" t="s">
        <v>78</v>
      </c>
      <c r="E253" s="4" t="s">
        <v>117</v>
      </c>
      <c r="F253" s="4">
        <v>1</v>
      </c>
      <c r="G253" s="6">
        <f>IF('评分录入'!M26="纳入",1,0)</f>
        <v>0</v>
      </c>
      <c r="H253" s="6">
        <f>IF(ISNUMBER('评分录入'!T26),1,0)</f>
        <v>0</v>
      </c>
      <c r="I253" s="6">
        <f>IF(AND(ISNUMBER('评分录入'!T26),'评分录入'!T26=1),1,0)</f>
        <v>0</v>
      </c>
      <c r="J253" s="6">
        <f>IF(AND(ISNUMBER('评分录入'!T26),'评分录入'!T26=0.5),1,0)</f>
        <v>0</v>
      </c>
      <c r="K253" s="6">
        <f>IF(AND(ISNUMBER('评分录入'!T26),'评分录入'!T26=0),1,0)</f>
        <v>0</v>
      </c>
      <c r="L253" s="6">
        <f>G253-H253</f>
        <v>0</v>
      </c>
      <c r="M253" s="7">
        <f>IF(H253=0,"",(I253+J253*0.5)/H253)</f>
        <v/>
      </c>
    </row>
    <row r="254" spans="1:13" ht="28" customHeight="1">
      <c r="A254" s="4" t="s">
        <v>72</v>
      </c>
      <c r="B254" s="4" t="s">
        <v>73</v>
      </c>
      <c r="C254" s="4" t="s">
        <v>79</v>
      </c>
      <c r="D254" s="4" t="s">
        <v>78</v>
      </c>
      <c r="E254" s="4" t="s">
        <v>118</v>
      </c>
      <c r="F254" s="4">
        <v>1</v>
      </c>
      <c r="G254" s="6">
        <f>IF('评分录入'!M26="纳入",1,0)</f>
        <v>0</v>
      </c>
      <c r="H254" s="6">
        <f>IF(ISNUMBER('评分录入'!Z26),1,0)</f>
        <v>0</v>
      </c>
      <c r="I254" s="6">
        <f>IF(AND(ISNUMBER('评分录入'!Z26),'评分录入'!Z26=1),1,0)</f>
        <v>0</v>
      </c>
      <c r="J254" s="6">
        <f>IF(AND(ISNUMBER('评分录入'!Z26),'评分录入'!Z26=0.5),1,0)</f>
        <v>0</v>
      </c>
      <c r="K254" s="6">
        <f>IF(AND(ISNUMBER('评分录入'!Z26),'评分录入'!Z26=0),1,0)</f>
        <v>0</v>
      </c>
      <c r="L254" s="6">
        <f>G254-H254</f>
        <v>0</v>
      </c>
      <c r="M254" s="7">
        <f>IF(H254=0,"",(I254+J254*0.5)/H254)</f>
        <v/>
      </c>
    </row>
    <row r="255" spans="1:13" ht="28" customHeight="1">
      <c r="A255" s="4" t="s">
        <v>72</v>
      </c>
      <c r="B255" s="4" t="s">
        <v>73</v>
      </c>
      <c r="C255" s="4" t="s">
        <v>79</v>
      </c>
      <c r="D255" s="4" t="s">
        <v>78</v>
      </c>
      <c r="E255" s="4" t="s">
        <v>119</v>
      </c>
      <c r="F255" s="4">
        <v>1</v>
      </c>
      <c r="G255" s="6">
        <f>IF('评分录入'!M26="纳入",1,0)</f>
        <v>0</v>
      </c>
      <c r="H255" s="6">
        <f>IF(ISNUMBER('评分录入'!AA26),1,0)</f>
        <v>0</v>
      </c>
      <c r="I255" s="6">
        <f>IF(AND(ISNUMBER('评分录入'!AA26),'评分录入'!AA26=1),1,0)</f>
        <v>0</v>
      </c>
      <c r="J255" s="6">
        <f>IF(AND(ISNUMBER('评分录入'!AA26),'评分录入'!AA26=0.5),1,0)</f>
        <v>0</v>
      </c>
      <c r="K255" s="6">
        <f>IF(AND(ISNUMBER('评分录入'!AA26),'评分录入'!AA26=0),1,0)</f>
        <v>0</v>
      </c>
      <c r="L255" s="6">
        <f>G255-H255</f>
        <v>0</v>
      </c>
      <c r="M255" s="7">
        <f>IF(H255=0,"",(I255+J255*0.5)/H255)</f>
        <v/>
      </c>
    </row>
    <row r="256" spans="1:13" ht="28" customHeight="1">
      <c r="A256" s="4" t="s">
        <v>72</v>
      </c>
      <c r="B256" s="4" t="s">
        <v>73</v>
      </c>
      <c r="C256" s="4" t="s">
        <v>79</v>
      </c>
      <c r="D256" s="4" t="s">
        <v>78</v>
      </c>
      <c r="E256" s="4" t="s">
        <v>120</v>
      </c>
      <c r="F256" s="4">
        <v>1</v>
      </c>
      <c r="G256" s="6">
        <f>IF('评分录入'!M26="纳入",1,0)</f>
        <v>0</v>
      </c>
      <c r="H256" s="6">
        <f>IF(ISNUMBER('评分录入'!AB26),1,0)</f>
        <v>0</v>
      </c>
      <c r="I256" s="6">
        <f>IF(AND(ISNUMBER('评分录入'!AB26),'评分录入'!AB26=1),1,0)</f>
        <v>0</v>
      </c>
      <c r="J256" s="6">
        <f>IF(AND(ISNUMBER('评分录入'!AB26),'评分录入'!AB26=0.5),1,0)</f>
        <v>0</v>
      </c>
      <c r="K256" s="6">
        <f>IF(AND(ISNUMBER('评分录入'!AB26),'评分录入'!AB26=0),1,0)</f>
        <v>0</v>
      </c>
      <c r="L256" s="6">
        <f>G256-H256</f>
        <v>0</v>
      </c>
      <c r="M256" s="7">
        <f>IF(H256=0,"",(I256+J256*0.5)/H256)</f>
        <v/>
      </c>
    </row>
    <row r="257" spans="1:13" ht="28" customHeight="1">
      <c r="A257" s="4" t="s">
        <v>72</v>
      </c>
      <c r="B257" s="4" t="s">
        <v>73</v>
      </c>
      <c r="C257" s="4" t="s">
        <v>79</v>
      </c>
      <c r="D257" s="4" t="s">
        <v>78</v>
      </c>
      <c r="E257" s="4" t="s">
        <v>121</v>
      </c>
      <c r="F257" s="4">
        <v>1</v>
      </c>
      <c r="G257" s="6">
        <f>IF('评分录入'!M26="纳入",1,0)</f>
        <v>0</v>
      </c>
      <c r="H257" s="6">
        <f>IF(ISNUMBER('评分录入'!AC26),1,0)</f>
        <v>0</v>
      </c>
      <c r="I257" s="6">
        <f>IF(AND(ISNUMBER('评分录入'!AC26),'评分录入'!AC26=1),1,0)</f>
        <v>0</v>
      </c>
      <c r="J257" s="6">
        <f>IF(AND(ISNUMBER('评分录入'!AC26),'评分录入'!AC26=0.5),1,0)</f>
        <v>0</v>
      </c>
      <c r="K257" s="6">
        <f>IF(AND(ISNUMBER('评分录入'!AC26),'评分录入'!AC26=0),1,0)</f>
        <v>0</v>
      </c>
      <c r="L257" s="6">
        <f>G257-H257</f>
        <v>0</v>
      </c>
      <c r="M257" s="7">
        <f>IF(H257=0,"",(I257+J257*0.5)/H257)</f>
        <v/>
      </c>
    </row>
    <row r="258" spans="1:13" ht="28" customHeight="1">
      <c r="A258" s="4" t="s">
        <v>72</v>
      </c>
      <c r="B258" s="4" t="s">
        <v>73</v>
      </c>
      <c r="C258" s="4" t="s">
        <v>79</v>
      </c>
      <c r="D258" s="4" t="s">
        <v>78</v>
      </c>
      <c r="E258" s="4" t="s">
        <v>122</v>
      </c>
      <c r="F258" s="4">
        <v>1</v>
      </c>
      <c r="G258" s="6">
        <f>IF('评分录入'!M26="纳入",1,0)</f>
        <v>0</v>
      </c>
      <c r="H258" s="6">
        <f>IF(ISNUMBER('评分录入'!AD26),1,0)</f>
        <v>0</v>
      </c>
      <c r="I258" s="6">
        <f>IF(AND(ISNUMBER('评分录入'!AD26),'评分录入'!AD26=1),1,0)</f>
        <v>0</v>
      </c>
      <c r="J258" s="6">
        <f>IF(AND(ISNUMBER('评分录入'!AD26),'评分录入'!AD26=0.5),1,0)</f>
        <v>0</v>
      </c>
      <c r="K258" s="6">
        <f>IF(AND(ISNUMBER('评分录入'!AD26),'评分录入'!AD26=0),1,0)</f>
        <v>0</v>
      </c>
      <c r="L258" s="6">
        <f>G258-H258</f>
        <v>0</v>
      </c>
      <c r="M258" s="7">
        <f>IF(H258=0,"",(I258+J258*0.5)/H258)</f>
        <v/>
      </c>
    </row>
    <row r="259" spans="1:13" ht="28" customHeight="1">
      <c r="A259" s="4" t="s">
        <v>72</v>
      </c>
      <c r="B259" s="4" t="s">
        <v>73</v>
      </c>
      <c r="C259" s="4" t="s">
        <v>78</v>
      </c>
      <c r="D259" s="4" t="s">
        <v>75</v>
      </c>
      <c r="E259" s="4" t="s">
        <v>117</v>
      </c>
      <c r="F259" s="4">
        <v>1</v>
      </c>
      <c r="G259" s="6">
        <f>IF('评分录入'!M43="纳入",1,0)</f>
        <v>0</v>
      </c>
      <c r="H259" s="6">
        <f>IF(ISNUMBER('评分录入'!T43),1,0)</f>
        <v>0</v>
      </c>
      <c r="I259" s="6">
        <f>IF(AND(ISNUMBER('评分录入'!T43),'评分录入'!T43=1),1,0)</f>
        <v>0</v>
      </c>
      <c r="J259" s="6">
        <f>IF(AND(ISNUMBER('评分录入'!T43),'评分录入'!T43=0.5),1,0)</f>
        <v>0</v>
      </c>
      <c r="K259" s="6">
        <f>IF(AND(ISNUMBER('评分录入'!T43),'评分录入'!T43=0),1,0)</f>
        <v>0</v>
      </c>
      <c r="L259" s="6">
        <f>G259-H259</f>
        <v>0</v>
      </c>
      <c r="M259" s="7">
        <f>IF(H259=0,"",(I259+J259*0.5)/H259)</f>
        <v/>
      </c>
    </row>
    <row r="260" spans="1:13" ht="28" customHeight="1">
      <c r="A260" s="4" t="s">
        <v>72</v>
      </c>
      <c r="B260" s="4" t="s">
        <v>73</v>
      </c>
      <c r="C260" s="4" t="s">
        <v>78</v>
      </c>
      <c r="D260" s="4" t="s">
        <v>75</v>
      </c>
      <c r="E260" s="4" t="s">
        <v>118</v>
      </c>
      <c r="F260" s="4">
        <v>1</v>
      </c>
      <c r="G260" s="6">
        <f>IF('评分录入'!M43="纳入",1,0)</f>
        <v>0</v>
      </c>
      <c r="H260" s="6">
        <f>IF(ISNUMBER('评分录入'!Z43),1,0)</f>
        <v>0</v>
      </c>
      <c r="I260" s="6">
        <f>IF(AND(ISNUMBER('评分录入'!Z43),'评分录入'!Z43=1),1,0)</f>
        <v>0</v>
      </c>
      <c r="J260" s="6">
        <f>IF(AND(ISNUMBER('评分录入'!Z43),'评分录入'!Z43=0.5),1,0)</f>
        <v>0</v>
      </c>
      <c r="K260" s="6">
        <f>IF(AND(ISNUMBER('评分录入'!Z43),'评分录入'!Z43=0),1,0)</f>
        <v>0</v>
      </c>
      <c r="L260" s="6">
        <f>G260-H260</f>
        <v>0</v>
      </c>
      <c r="M260" s="7">
        <f>IF(H260=0,"",(I260+J260*0.5)/H260)</f>
        <v/>
      </c>
    </row>
    <row r="261" spans="1:13" ht="28" customHeight="1">
      <c r="A261" s="4" t="s">
        <v>72</v>
      </c>
      <c r="B261" s="4" t="s">
        <v>73</v>
      </c>
      <c r="C261" s="4" t="s">
        <v>78</v>
      </c>
      <c r="D261" s="4" t="s">
        <v>75</v>
      </c>
      <c r="E261" s="4" t="s">
        <v>119</v>
      </c>
      <c r="F261" s="4">
        <v>1</v>
      </c>
      <c r="G261" s="6">
        <f>IF('评分录入'!M43="纳入",1,0)</f>
        <v>0</v>
      </c>
      <c r="H261" s="6">
        <f>IF(ISNUMBER('评分录入'!AA43),1,0)</f>
        <v>0</v>
      </c>
      <c r="I261" s="6">
        <f>IF(AND(ISNUMBER('评分录入'!AA43),'评分录入'!AA43=1),1,0)</f>
        <v>0</v>
      </c>
      <c r="J261" s="6">
        <f>IF(AND(ISNUMBER('评分录入'!AA43),'评分录入'!AA43=0.5),1,0)</f>
        <v>0</v>
      </c>
      <c r="K261" s="6">
        <f>IF(AND(ISNUMBER('评分录入'!AA43),'评分录入'!AA43=0),1,0)</f>
        <v>0</v>
      </c>
      <c r="L261" s="6">
        <f>G261-H261</f>
        <v>0</v>
      </c>
      <c r="M261" s="7">
        <f>IF(H261=0,"",(I261+J261*0.5)/H261)</f>
        <v/>
      </c>
    </row>
    <row r="262" spans="1:13" ht="28" customHeight="1">
      <c r="A262" s="4" t="s">
        <v>72</v>
      </c>
      <c r="B262" s="4" t="s">
        <v>73</v>
      </c>
      <c r="C262" s="4" t="s">
        <v>78</v>
      </c>
      <c r="D262" s="4" t="s">
        <v>75</v>
      </c>
      <c r="E262" s="4" t="s">
        <v>120</v>
      </c>
      <c r="F262" s="4">
        <v>1</v>
      </c>
      <c r="G262" s="6">
        <f>IF('评分录入'!M43="纳入",1,0)</f>
        <v>0</v>
      </c>
      <c r="H262" s="6">
        <f>IF(ISNUMBER('评分录入'!AB43),1,0)</f>
        <v>0</v>
      </c>
      <c r="I262" s="6">
        <f>IF(AND(ISNUMBER('评分录入'!AB43),'评分录入'!AB43=1),1,0)</f>
        <v>0</v>
      </c>
      <c r="J262" s="6">
        <f>IF(AND(ISNUMBER('评分录入'!AB43),'评分录入'!AB43=0.5),1,0)</f>
        <v>0</v>
      </c>
      <c r="K262" s="6">
        <f>IF(AND(ISNUMBER('评分录入'!AB43),'评分录入'!AB43=0),1,0)</f>
        <v>0</v>
      </c>
      <c r="L262" s="6">
        <f>G262-H262</f>
        <v>0</v>
      </c>
      <c r="M262" s="7">
        <f>IF(H262=0,"",(I262+J262*0.5)/H262)</f>
        <v/>
      </c>
    </row>
    <row r="263" spans="1:13" ht="28" customHeight="1">
      <c r="A263" s="4" t="s">
        <v>72</v>
      </c>
      <c r="B263" s="4" t="s">
        <v>73</v>
      </c>
      <c r="C263" s="4" t="s">
        <v>78</v>
      </c>
      <c r="D263" s="4" t="s">
        <v>75</v>
      </c>
      <c r="E263" s="4" t="s">
        <v>121</v>
      </c>
      <c r="F263" s="4">
        <v>1</v>
      </c>
      <c r="G263" s="6">
        <f>IF('评分录入'!M43="纳入",1,0)</f>
        <v>0</v>
      </c>
      <c r="H263" s="6">
        <f>IF(ISNUMBER('评分录入'!AC43),1,0)</f>
        <v>0</v>
      </c>
      <c r="I263" s="6">
        <f>IF(AND(ISNUMBER('评分录入'!AC43),'评分录入'!AC43=1),1,0)</f>
        <v>0</v>
      </c>
      <c r="J263" s="6">
        <f>IF(AND(ISNUMBER('评分录入'!AC43),'评分录入'!AC43=0.5),1,0)</f>
        <v>0</v>
      </c>
      <c r="K263" s="6">
        <f>IF(AND(ISNUMBER('评分录入'!AC43),'评分录入'!AC43=0),1,0)</f>
        <v>0</v>
      </c>
      <c r="L263" s="6">
        <f>G263-H263</f>
        <v>0</v>
      </c>
      <c r="M263" s="7">
        <f>IF(H263=0,"",(I263+J263*0.5)/H263)</f>
        <v/>
      </c>
    </row>
    <row r="264" spans="1:13" ht="28" customHeight="1">
      <c r="A264" s="4" t="s">
        <v>72</v>
      </c>
      <c r="B264" s="4" t="s">
        <v>73</v>
      </c>
      <c r="C264" s="4" t="s">
        <v>78</v>
      </c>
      <c r="D264" s="4" t="s">
        <v>75</v>
      </c>
      <c r="E264" s="4" t="s">
        <v>122</v>
      </c>
      <c r="F264" s="4">
        <v>1</v>
      </c>
      <c r="G264" s="6">
        <f>IF('评分录入'!M43="纳入",1,0)</f>
        <v>0</v>
      </c>
      <c r="H264" s="6">
        <f>IF(ISNUMBER('评分录入'!AD43),1,0)</f>
        <v>0</v>
      </c>
      <c r="I264" s="6">
        <f>IF(AND(ISNUMBER('评分录入'!AD43),'评分录入'!AD43=1),1,0)</f>
        <v>0</v>
      </c>
      <c r="J264" s="6">
        <f>IF(AND(ISNUMBER('评分录入'!AD43),'评分录入'!AD43=0.5),1,0)</f>
        <v>0</v>
      </c>
      <c r="K264" s="6">
        <f>IF(AND(ISNUMBER('评分录入'!AD43),'评分录入'!AD43=0),1,0)</f>
        <v>0</v>
      </c>
      <c r="L264" s="6">
        <f>G264-H264</f>
        <v>0</v>
      </c>
      <c r="M264" s="7">
        <f>IF(H264=0,"",(I264+J264*0.5)/H264)</f>
        <v/>
      </c>
    </row>
    <row r="265" spans="1:13" ht="28" customHeight="1">
      <c r="A265" s="4" t="s">
        <v>72</v>
      </c>
      <c r="B265" s="4" t="s">
        <v>73</v>
      </c>
      <c r="C265" s="4" t="s">
        <v>79</v>
      </c>
      <c r="D265" s="4" t="s">
        <v>87</v>
      </c>
      <c r="E265" s="4" t="s">
        <v>117</v>
      </c>
      <c r="F265" s="4">
        <v>1</v>
      </c>
      <c r="G265" s="6">
        <f>IF('评分录入'!M21="纳入",1,0)</f>
        <v>0</v>
      </c>
      <c r="H265" s="6">
        <f>IF(ISNUMBER('评分录入'!T21),1,0)</f>
        <v>0</v>
      </c>
      <c r="I265" s="6">
        <f>IF(AND(ISNUMBER('评分录入'!T21),'评分录入'!T21=1),1,0)</f>
        <v>0</v>
      </c>
      <c r="J265" s="6">
        <f>IF(AND(ISNUMBER('评分录入'!T21),'评分录入'!T21=0.5),1,0)</f>
        <v>0</v>
      </c>
      <c r="K265" s="6">
        <f>IF(AND(ISNUMBER('评分录入'!T21),'评分录入'!T21=0),1,0)</f>
        <v>0</v>
      </c>
      <c r="L265" s="6">
        <f>G265-H265</f>
        <v>0</v>
      </c>
      <c r="M265" s="7">
        <f>IF(H265=0,"",(I265+J265*0.5)/H265)</f>
        <v/>
      </c>
    </row>
    <row r="266" spans="1:13" ht="28" customHeight="1">
      <c r="A266" s="4" t="s">
        <v>72</v>
      </c>
      <c r="B266" s="4" t="s">
        <v>73</v>
      </c>
      <c r="C266" s="4" t="s">
        <v>79</v>
      </c>
      <c r="D266" s="4" t="s">
        <v>87</v>
      </c>
      <c r="E266" s="4" t="s">
        <v>118</v>
      </c>
      <c r="F266" s="4">
        <v>1</v>
      </c>
      <c r="G266" s="6">
        <f>IF('评分录入'!M21="纳入",1,0)</f>
        <v>0</v>
      </c>
      <c r="H266" s="6">
        <f>IF(ISNUMBER('评分录入'!Z21),1,0)</f>
        <v>0</v>
      </c>
      <c r="I266" s="6">
        <f>IF(AND(ISNUMBER('评分录入'!Z21),'评分录入'!Z21=1),1,0)</f>
        <v>0</v>
      </c>
      <c r="J266" s="6">
        <f>IF(AND(ISNUMBER('评分录入'!Z21),'评分录入'!Z21=0.5),1,0)</f>
        <v>0</v>
      </c>
      <c r="K266" s="6">
        <f>IF(AND(ISNUMBER('评分录入'!Z21),'评分录入'!Z21=0),1,0)</f>
        <v>0</v>
      </c>
      <c r="L266" s="6">
        <f>G266-H266</f>
        <v>0</v>
      </c>
      <c r="M266" s="7">
        <f>IF(H266=0,"",(I266+J266*0.5)/H266)</f>
        <v/>
      </c>
    </row>
    <row r="267" spans="1:13" ht="28" customHeight="1">
      <c r="A267" s="4" t="s">
        <v>72</v>
      </c>
      <c r="B267" s="4" t="s">
        <v>73</v>
      </c>
      <c r="C267" s="4" t="s">
        <v>79</v>
      </c>
      <c r="D267" s="4" t="s">
        <v>87</v>
      </c>
      <c r="E267" s="4" t="s">
        <v>119</v>
      </c>
      <c r="F267" s="4">
        <v>1</v>
      </c>
      <c r="G267" s="6">
        <f>IF('评分录入'!M21="纳入",1,0)</f>
        <v>0</v>
      </c>
      <c r="H267" s="6">
        <f>IF(ISNUMBER('评分录入'!AA21),1,0)</f>
        <v>0</v>
      </c>
      <c r="I267" s="6">
        <f>IF(AND(ISNUMBER('评分录入'!AA21),'评分录入'!AA21=1),1,0)</f>
        <v>0</v>
      </c>
      <c r="J267" s="6">
        <f>IF(AND(ISNUMBER('评分录入'!AA21),'评分录入'!AA21=0.5),1,0)</f>
        <v>0</v>
      </c>
      <c r="K267" s="6">
        <f>IF(AND(ISNUMBER('评分录入'!AA21),'评分录入'!AA21=0),1,0)</f>
        <v>0</v>
      </c>
      <c r="L267" s="6">
        <f>G267-H267</f>
        <v>0</v>
      </c>
      <c r="M267" s="7">
        <f>IF(H267=0,"",(I267+J267*0.5)/H267)</f>
        <v/>
      </c>
    </row>
    <row r="268" spans="1:13" ht="28" customHeight="1">
      <c r="A268" s="4" t="s">
        <v>72</v>
      </c>
      <c r="B268" s="4" t="s">
        <v>73</v>
      </c>
      <c r="C268" s="4" t="s">
        <v>79</v>
      </c>
      <c r="D268" s="4" t="s">
        <v>87</v>
      </c>
      <c r="E268" s="4" t="s">
        <v>120</v>
      </c>
      <c r="F268" s="4">
        <v>1</v>
      </c>
      <c r="G268" s="6">
        <f>IF('评分录入'!M21="纳入",1,0)</f>
        <v>0</v>
      </c>
      <c r="H268" s="6">
        <f>IF(ISNUMBER('评分录入'!AB21),1,0)</f>
        <v>0</v>
      </c>
      <c r="I268" s="6">
        <f>IF(AND(ISNUMBER('评分录入'!AB21),'评分录入'!AB21=1),1,0)</f>
        <v>0</v>
      </c>
      <c r="J268" s="6">
        <f>IF(AND(ISNUMBER('评分录入'!AB21),'评分录入'!AB21=0.5),1,0)</f>
        <v>0</v>
      </c>
      <c r="K268" s="6">
        <f>IF(AND(ISNUMBER('评分录入'!AB21),'评分录入'!AB21=0),1,0)</f>
        <v>0</v>
      </c>
      <c r="L268" s="6">
        <f>G268-H268</f>
        <v>0</v>
      </c>
      <c r="M268" s="7">
        <f>IF(H268=0,"",(I268+J268*0.5)/H268)</f>
        <v/>
      </c>
    </row>
    <row r="269" spans="1:13" ht="28" customHeight="1">
      <c r="A269" s="4" t="s">
        <v>72</v>
      </c>
      <c r="B269" s="4" t="s">
        <v>73</v>
      </c>
      <c r="C269" s="4" t="s">
        <v>79</v>
      </c>
      <c r="D269" s="4" t="s">
        <v>87</v>
      </c>
      <c r="E269" s="4" t="s">
        <v>121</v>
      </c>
      <c r="F269" s="4">
        <v>1</v>
      </c>
      <c r="G269" s="6">
        <f>IF('评分录入'!M21="纳入",1,0)</f>
        <v>0</v>
      </c>
      <c r="H269" s="6">
        <f>IF(ISNUMBER('评分录入'!AC21),1,0)</f>
        <v>0</v>
      </c>
      <c r="I269" s="6">
        <f>IF(AND(ISNUMBER('评分录入'!AC21),'评分录入'!AC21=1),1,0)</f>
        <v>0</v>
      </c>
      <c r="J269" s="6">
        <f>IF(AND(ISNUMBER('评分录入'!AC21),'评分录入'!AC21=0.5),1,0)</f>
        <v>0</v>
      </c>
      <c r="K269" s="6">
        <f>IF(AND(ISNUMBER('评分录入'!AC21),'评分录入'!AC21=0),1,0)</f>
        <v>0</v>
      </c>
      <c r="L269" s="6">
        <f>G269-H269</f>
        <v>0</v>
      </c>
      <c r="M269" s="7">
        <f>IF(H269=0,"",(I269+J269*0.5)/H269)</f>
        <v/>
      </c>
    </row>
    <row r="270" spans="1:13" ht="28" customHeight="1">
      <c r="A270" s="4" t="s">
        <v>72</v>
      </c>
      <c r="B270" s="4" t="s">
        <v>73</v>
      </c>
      <c r="C270" s="4" t="s">
        <v>79</v>
      </c>
      <c r="D270" s="4" t="s">
        <v>87</v>
      </c>
      <c r="E270" s="4" t="s">
        <v>122</v>
      </c>
      <c r="F270" s="4">
        <v>1</v>
      </c>
      <c r="G270" s="6">
        <f>IF('评分录入'!M21="纳入",1,0)</f>
        <v>0</v>
      </c>
      <c r="H270" s="6">
        <f>IF(ISNUMBER('评分录入'!AD21),1,0)</f>
        <v>0</v>
      </c>
      <c r="I270" s="6">
        <f>IF(AND(ISNUMBER('评分录入'!AD21),'评分录入'!AD21=1),1,0)</f>
        <v>0</v>
      </c>
      <c r="J270" s="6">
        <f>IF(AND(ISNUMBER('评分录入'!AD21),'评分录入'!AD21=0.5),1,0)</f>
        <v>0</v>
      </c>
      <c r="K270" s="6">
        <f>IF(AND(ISNUMBER('评分录入'!AD21),'评分录入'!AD21=0),1,0)</f>
        <v>0</v>
      </c>
      <c r="L270" s="6">
        <f>G270-H270</f>
        <v>0</v>
      </c>
      <c r="M270" s="7">
        <f>IF(H270=0,"",(I270+J270*0.5)/H270)</f>
        <v/>
      </c>
    </row>
    <row r="271" spans="1:13" ht="28" customHeight="1">
      <c r="A271" s="4" t="s">
        <v>72</v>
      </c>
      <c r="B271" s="4" t="s">
        <v>73</v>
      </c>
      <c r="C271" s="4" t="s">
        <v>78</v>
      </c>
      <c r="D271" s="4" t="s">
        <v>87</v>
      </c>
      <c r="E271" s="4" t="s">
        <v>117</v>
      </c>
      <c r="F271" s="4">
        <v>1</v>
      </c>
      <c r="G271" s="6">
        <f>IF('评分录入'!M49="纳入",1,0)</f>
        <v>0</v>
      </c>
      <c r="H271" s="6">
        <f>IF(ISNUMBER('评分录入'!T49),1,0)</f>
        <v>0</v>
      </c>
      <c r="I271" s="6">
        <f>IF(AND(ISNUMBER('评分录入'!T49),'评分录入'!T49=1),1,0)</f>
        <v>0</v>
      </c>
      <c r="J271" s="6">
        <f>IF(AND(ISNUMBER('评分录入'!T49),'评分录入'!T49=0.5),1,0)</f>
        <v>0</v>
      </c>
      <c r="K271" s="6">
        <f>IF(AND(ISNUMBER('评分录入'!T49),'评分录入'!T49=0),1,0)</f>
        <v>0</v>
      </c>
      <c r="L271" s="6">
        <f>G271-H271</f>
        <v>0</v>
      </c>
      <c r="M271" s="7">
        <f>IF(H271=0,"",(I271+J271*0.5)/H271)</f>
        <v/>
      </c>
    </row>
    <row r="272" spans="1:13" ht="28" customHeight="1">
      <c r="A272" s="4" t="s">
        <v>72</v>
      </c>
      <c r="B272" s="4" t="s">
        <v>73</v>
      </c>
      <c r="C272" s="4" t="s">
        <v>78</v>
      </c>
      <c r="D272" s="4" t="s">
        <v>87</v>
      </c>
      <c r="E272" s="4" t="s">
        <v>118</v>
      </c>
      <c r="F272" s="4">
        <v>1</v>
      </c>
      <c r="G272" s="6">
        <f>IF('评分录入'!M49="纳入",1,0)</f>
        <v>0</v>
      </c>
      <c r="H272" s="6">
        <f>IF(ISNUMBER('评分录入'!Z49),1,0)</f>
        <v>0</v>
      </c>
      <c r="I272" s="6">
        <f>IF(AND(ISNUMBER('评分录入'!Z49),'评分录入'!Z49=1),1,0)</f>
        <v>0</v>
      </c>
      <c r="J272" s="6">
        <f>IF(AND(ISNUMBER('评分录入'!Z49),'评分录入'!Z49=0.5),1,0)</f>
        <v>0</v>
      </c>
      <c r="K272" s="6">
        <f>IF(AND(ISNUMBER('评分录入'!Z49),'评分录入'!Z49=0),1,0)</f>
        <v>0</v>
      </c>
      <c r="L272" s="6">
        <f>G272-H272</f>
        <v>0</v>
      </c>
      <c r="M272" s="7">
        <f>IF(H272=0,"",(I272+J272*0.5)/H272)</f>
        <v/>
      </c>
    </row>
    <row r="273" spans="1:13" ht="28" customHeight="1">
      <c r="A273" s="4" t="s">
        <v>72</v>
      </c>
      <c r="B273" s="4" t="s">
        <v>73</v>
      </c>
      <c r="C273" s="4" t="s">
        <v>78</v>
      </c>
      <c r="D273" s="4" t="s">
        <v>87</v>
      </c>
      <c r="E273" s="4" t="s">
        <v>119</v>
      </c>
      <c r="F273" s="4">
        <v>1</v>
      </c>
      <c r="G273" s="6">
        <f>IF('评分录入'!M49="纳入",1,0)</f>
        <v>0</v>
      </c>
      <c r="H273" s="6">
        <f>IF(ISNUMBER('评分录入'!AA49),1,0)</f>
        <v>0</v>
      </c>
      <c r="I273" s="6">
        <f>IF(AND(ISNUMBER('评分录入'!AA49),'评分录入'!AA49=1),1,0)</f>
        <v>0</v>
      </c>
      <c r="J273" s="6">
        <f>IF(AND(ISNUMBER('评分录入'!AA49),'评分录入'!AA49=0.5),1,0)</f>
        <v>0</v>
      </c>
      <c r="K273" s="6">
        <f>IF(AND(ISNUMBER('评分录入'!AA49),'评分录入'!AA49=0),1,0)</f>
        <v>0</v>
      </c>
      <c r="L273" s="6">
        <f>G273-H273</f>
        <v>0</v>
      </c>
      <c r="M273" s="7">
        <f>IF(H273=0,"",(I273+J273*0.5)/H273)</f>
        <v/>
      </c>
    </row>
    <row r="274" spans="1:13" ht="28" customHeight="1">
      <c r="A274" s="4" t="s">
        <v>72</v>
      </c>
      <c r="B274" s="4" t="s">
        <v>73</v>
      </c>
      <c r="C274" s="4" t="s">
        <v>78</v>
      </c>
      <c r="D274" s="4" t="s">
        <v>87</v>
      </c>
      <c r="E274" s="4" t="s">
        <v>120</v>
      </c>
      <c r="F274" s="4">
        <v>1</v>
      </c>
      <c r="G274" s="6">
        <f>IF('评分录入'!M49="纳入",1,0)</f>
        <v>0</v>
      </c>
      <c r="H274" s="6">
        <f>IF(ISNUMBER('评分录入'!AB49),1,0)</f>
        <v>0</v>
      </c>
      <c r="I274" s="6">
        <f>IF(AND(ISNUMBER('评分录入'!AB49),'评分录入'!AB49=1),1,0)</f>
        <v>0</v>
      </c>
      <c r="J274" s="6">
        <f>IF(AND(ISNUMBER('评分录入'!AB49),'评分录入'!AB49=0.5),1,0)</f>
        <v>0</v>
      </c>
      <c r="K274" s="6">
        <f>IF(AND(ISNUMBER('评分录入'!AB49),'评分录入'!AB49=0),1,0)</f>
        <v>0</v>
      </c>
      <c r="L274" s="6">
        <f>G274-H274</f>
        <v>0</v>
      </c>
      <c r="M274" s="7">
        <f>IF(H274=0,"",(I274+J274*0.5)/H274)</f>
        <v/>
      </c>
    </row>
    <row r="275" spans="1:13" ht="28" customHeight="1">
      <c r="A275" s="4" t="s">
        <v>72</v>
      </c>
      <c r="B275" s="4" t="s">
        <v>73</v>
      </c>
      <c r="C275" s="4" t="s">
        <v>78</v>
      </c>
      <c r="D275" s="4" t="s">
        <v>87</v>
      </c>
      <c r="E275" s="4" t="s">
        <v>121</v>
      </c>
      <c r="F275" s="4">
        <v>1</v>
      </c>
      <c r="G275" s="6">
        <f>IF('评分录入'!M49="纳入",1,0)</f>
        <v>0</v>
      </c>
      <c r="H275" s="6">
        <f>IF(ISNUMBER('评分录入'!AC49),1,0)</f>
        <v>0</v>
      </c>
      <c r="I275" s="6">
        <f>IF(AND(ISNUMBER('评分录入'!AC49),'评分录入'!AC49=1),1,0)</f>
        <v>0</v>
      </c>
      <c r="J275" s="6">
        <f>IF(AND(ISNUMBER('评分录入'!AC49),'评分录入'!AC49=0.5),1,0)</f>
        <v>0</v>
      </c>
      <c r="K275" s="6">
        <f>IF(AND(ISNUMBER('评分录入'!AC49),'评分录入'!AC49=0),1,0)</f>
        <v>0</v>
      </c>
      <c r="L275" s="6">
        <f>G275-H275</f>
        <v>0</v>
      </c>
      <c r="M275" s="7">
        <f>IF(H275=0,"",(I275+J275*0.5)/H275)</f>
        <v/>
      </c>
    </row>
    <row r="276" spans="1:13" ht="28" customHeight="1">
      <c r="A276" s="4" t="s">
        <v>72</v>
      </c>
      <c r="B276" s="4" t="s">
        <v>73</v>
      </c>
      <c r="C276" s="4" t="s">
        <v>78</v>
      </c>
      <c r="D276" s="4" t="s">
        <v>87</v>
      </c>
      <c r="E276" s="4" t="s">
        <v>122</v>
      </c>
      <c r="F276" s="4">
        <v>1</v>
      </c>
      <c r="G276" s="6">
        <f>IF('评分录入'!M49="纳入",1,0)</f>
        <v>0</v>
      </c>
      <c r="H276" s="6">
        <f>IF(ISNUMBER('评分录入'!AD49),1,0)</f>
        <v>0</v>
      </c>
      <c r="I276" s="6">
        <f>IF(AND(ISNUMBER('评分录入'!AD49),'评分录入'!AD49=1),1,0)</f>
        <v>0</v>
      </c>
      <c r="J276" s="6">
        <f>IF(AND(ISNUMBER('评分录入'!AD49),'评分录入'!AD49=0.5),1,0)</f>
        <v>0</v>
      </c>
      <c r="K276" s="6">
        <f>IF(AND(ISNUMBER('评分录入'!AD49),'评分录入'!AD49=0),1,0)</f>
        <v>0</v>
      </c>
      <c r="L276" s="6">
        <f>G276-H276</f>
        <v>0</v>
      </c>
      <c r="M276" s="7">
        <f>IF(H276=0,"",(I276+J276*0.5)/H276)</f>
        <v/>
      </c>
    </row>
    <row r="277" spans="1:13" ht="28" customHeight="1">
      <c r="A277" s="4" t="s">
        <v>72</v>
      </c>
      <c r="B277" s="4" t="s">
        <v>73</v>
      </c>
      <c r="C277" s="4" t="s">
        <v>74</v>
      </c>
      <c r="D277" s="4" t="s">
        <v>78</v>
      </c>
      <c r="E277" s="4" t="s">
        <v>117</v>
      </c>
      <c r="F277" s="4">
        <v>1</v>
      </c>
      <c r="G277" s="6">
        <f>IF('评分录入'!M39="纳入",1,0)</f>
        <v>0</v>
      </c>
      <c r="H277" s="6">
        <f>IF(ISNUMBER('评分录入'!T39),1,0)</f>
        <v>0</v>
      </c>
      <c r="I277" s="6">
        <f>IF(AND(ISNUMBER('评分录入'!T39),'评分录入'!T39=1),1,0)</f>
        <v>0</v>
      </c>
      <c r="J277" s="6">
        <f>IF(AND(ISNUMBER('评分录入'!T39),'评分录入'!T39=0.5),1,0)</f>
        <v>0</v>
      </c>
      <c r="K277" s="6">
        <f>IF(AND(ISNUMBER('评分录入'!T39),'评分录入'!T39=0),1,0)</f>
        <v>0</v>
      </c>
      <c r="L277" s="6">
        <f>G277-H277</f>
        <v>0</v>
      </c>
      <c r="M277" s="7">
        <f>IF(H277=0,"",(I277+J277*0.5)/H277)</f>
        <v/>
      </c>
    </row>
    <row r="278" spans="1:13" ht="28" customHeight="1">
      <c r="A278" s="4" t="s">
        <v>72</v>
      </c>
      <c r="B278" s="4" t="s">
        <v>73</v>
      </c>
      <c r="C278" s="4" t="s">
        <v>74</v>
      </c>
      <c r="D278" s="4" t="s">
        <v>78</v>
      </c>
      <c r="E278" s="4" t="s">
        <v>118</v>
      </c>
      <c r="F278" s="4">
        <v>1</v>
      </c>
      <c r="G278" s="6">
        <f>IF('评分录入'!M39="纳入",1,0)</f>
        <v>0</v>
      </c>
      <c r="H278" s="6">
        <f>IF(ISNUMBER('评分录入'!Z39),1,0)</f>
        <v>0</v>
      </c>
      <c r="I278" s="6">
        <f>IF(AND(ISNUMBER('评分录入'!Z39),'评分录入'!Z39=1),1,0)</f>
        <v>0</v>
      </c>
      <c r="J278" s="6">
        <f>IF(AND(ISNUMBER('评分录入'!Z39),'评分录入'!Z39=0.5),1,0)</f>
        <v>0</v>
      </c>
      <c r="K278" s="6">
        <f>IF(AND(ISNUMBER('评分录入'!Z39),'评分录入'!Z39=0),1,0)</f>
        <v>0</v>
      </c>
      <c r="L278" s="6">
        <f>G278-H278</f>
        <v>0</v>
      </c>
      <c r="M278" s="7">
        <f>IF(H278=0,"",(I278+J278*0.5)/H278)</f>
        <v/>
      </c>
    </row>
    <row r="279" spans="1:13" ht="28" customHeight="1">
      <c r="A279" s="4" t="s">
        <v>72</v>
      </c>
      <c r="B279" s="4" t="s">
        <v>73</v>
      </c>
      <c r="C279" s="4" t="s">
        <v>74</v>
      </c>
      <c r="D279" s="4" t="s">
        <v>78</v>
      </c>
      <c r="E279" s="4" t="s">
        <v>119</v>
      </c>
      <c r="F279" s="4">
        <v>1</v>
      </c>
      <c r="G279" s="6">
        <f>IF('评分录入'!M39="纳入",1,0)</f>
        <v>0</v>
      </c>
      <c r="H279" s="6">
        <f>IF(ISNUMBER('评分录入'!AA39),1,0)</f>
        <v>0</v>
      </c>
      <c r="I279" s="6">
        <f>IF(AND(ISNUMBER('评分录入'!AA39),'评分录入'!AA39=1),1,0)</f>
        <v>0</v>
      </c>
      <c r="J279" s="6">
        <f>IF(AND(ISNUMBER('评分录入'!AA39),'评分录入'!AA39=0.5),1,0)</f>
        <v>0</v>
      </c>
      <c r="K279" s="6">
        <f>IF(AND(ISNUMBER('评分录入'!AA39),'评分录入'!AA39=0),1,0)</f>
        <v>0</v>
      </c>
      <c r="L279" s="6">
        <f>G279-H279</f>
        <v>0</v>
      </c>
      <c r="M279" s="7">
        <f>IF(H279=0,"",(I279+J279*0.5)/H279)</f>
        <v/>
      </c>
    </row>
    <row r="280" spans="1:13" ht="28" customHeight="1">
      <c r="A280" s="4" t="s">
        <v>72</v>
      </c>
      <c r="B280" s="4" t="s">
        <v>73</v>
      </c>
      <c r="C280" s="4" t="s">
        <v>74</v>
      </c>
      <c r="D280" s="4" t="s">
        <v>78</v>
      </c>
      <c r="E280" s="4" t="s">
        <v>120</v>
      </c>
      <c r="F280" s="4">
        <v>1</v>
      </c>
      <c r="G280" s="6">
        <f>IF('评分录入'!M39="纳入",1,0)</f>
        <v>0</v>
      </c>
      <c r="H280" s="6">
        <f>IF(ISNUMBER('评分录入'!AB39),1,0)</f>
        <v>0</v>
      </c>
      <c r="I280" s="6">
        <f>IF(AND(ISNUMBER('评分录入'!AB39),'评分录入'!AB39=1),1,0)</f>
        <v>0</v>
      </c>
      <c r="J280" s="6">
        <f>IF(AND(ISNUMBER('评分录入'!AB39),'评分录入'!AB39=0.5),1,0)</f>
        <v>0</v>
      </c>
      <c r="K280" s="6">
        <f>IF(AND(ISNUMBER('评分录入'!AB39),'评分录入'!AB39=0),1,0)</f>
        <v>0</v>
      </c>
      <c r="L280" s="6">
        <f>G280-H280</f>
        <v>0</v>
      </c>
      <c r="M280" s="7">
        <f>IF(H280=0,"",(I280+J280*0.5)/H280)</f>
        <v/>
      </c>
    </row>
    <row r="281" spans="1:13" ht="28" customHeight="1">
      <c r="A281" s="4" t="s">
        <v>72</v>
      </c>
      <c r="B281" s="4" t="s">
        <v>73</v>
      </c>
      <c r="C281" s="4" t="s">
        <v>74</v>
      </c>
      <c r="D281" s="4" t="s">
        <v>78</v>
      </c>
      <c r="E281" s="4" t="s">
        <v>121</v>
      </c>
      <c r="F281" s="4">
        <v>1</v>
      </c>
      <c r="G281" s="6">
        <f>IF('评分录入'!M39="纳入",1,0)</f>
        <v>0</v>
      </c>
      <c r="H281" s="6">
        <f>IF(ISNUMBER('评分录入'!AC39),1,0)</f>
        <v>0</v>
      </c>
      <c r="I281" s="6">
        <f>IF(AND(ISNUMBER('评分录入'!AC39),'评分录入'!AC39=1),1,0)</f>
        <v>0</v>
      </c>
      <c r="J281" s="6">
        <f>IF(AND(ISNUMBER('评分录入'!AC39),'评分录入'!AC39=0.5),1,0)</f>
        <v>0</v>
      </c>
      <c r="K281" s="6">
        <f>IF(AND(ISNUMBER('评分录入'!AC39),'评分录入'!AC39=0),1,0)</f>
        <v>0</v>
      </c>
      <c r="L281" s="6">
        <f>G281-H281</f>
        <v>0</v>
      </c>
      <c r="M281" s="7">
        <f>IF(H281=0,"",(I281+J281*0.5)/H281)</f>
        <v/>
      </c>
    </row>
    <row r="282" spans="1:13" ht="28" customHeight="1">
      <c r="A282" s="4" t="s">
        <v>72</v>
      </c>
      <c r="B282" s="4" t="s">
        <v>73</v>
      </c>
      <c r="C282" s="4" t="s">
        <v>74</v>
      </c>
      <c r="D282" s="4" t="s">
        <v>78</v>
      </c>
      <c r="E282" s="4" t="s">
        <v>122</v>
      </c>
      <c r="F282" s="4">
        <v>1</v>
      </c>
      <c r="G282" s="6">
        <f>IF('评分录入'!M39="纳入",1,0)</f>
        <v>0</v>
      </c>
      <c r="H282" s="6">
        <f>IF(ISNUMBER('评分录入'!AD39),1,0)</f>
        <v>0</v>
      </c>
      <c r="I282" s="6">
        <f>IF(AND(ISNUMBER('评分录入'!AD39),'评分录入'!AD39=1),1,0)</f>
        <v>0</v>
      </c>
      <c r="J282" s="6">
        <f>IF(AND(ISNUMBER('评分录入'!AD39),'评分录入'!AD39=0.5),1,0)</f>
        <v>0</v>
      </c>
      <c r="K282" s="6">
        <f>IF(AND(ISNUMBER('评分录入'!AD39),'评分录入'!AD39=0),1,0)</f>
        <v>0</v>
      </c>
      <c r="L282" s="6">
        <f>G282-H282</f>
        <v>0</v>
      </c>
      <c r="M282" s="7">
        <f>IF(H282=0,"",(I282+J282*0.5)/H282)</f>
        <v/>
      </c>
    </row>
    <row r="283" spans="1:13" ht="28" customHeight="1">
      <c r="A283" s="4" t="s">
        <v>72</v>
      </c>
      <c r="B283" s="4" t="s">
        <v>73</v>
      </c>
      <c r="C283" s="4" t="s">
        <v>74</v>
      </c>
      <c r="D283" s="4" t="s">
        <v>75</v>
      </c>
      <c r="E283" s="4" t="s">
        <v>117</v>
      </c>
      <c r="F283" s="4">
        <v>1</v>
      </c>
      <c r="G283" s="6">
        <f>IF('评分录入'!M7="纳入",1,0)</f>
        <v>0</v>
      </c>
      <c r="H283" s="6">
        <f>IF(ISNUMBER('评分录入'!T7),1,0)</f>
        <v>0</v>
      </c>
      <c r="I283" s="6">
        <f>IF(AND(ISNUMBER('评分录入'!T7),'评分录入'!T7=1),1,0)</f>
        <v>0</v>
      </c>
      <c r="J283" s="6">
        <f>IF(AND(ISNUMBER('评分录入'!T7),'评分录入'!T7=0.5),1,0)</f>
        <v>0</v>
      </c>
      <c r="K283" s="6">
        <f>IF(AND(ISNUMBER('评分录入'!T7),'评分录入'!T7=0),1,0)</f>
        <v>0</v>
      </c>
      <c r="L283" s="6">
        <f>G283-H283</f>
        <v>0</v>
      </c>
      <c r="M283" s="7">
        <f>IF(H283=0,"",(I283+J283*0.5)/H283)</f>
        <v/>
      </c>
    </row>
    <row r="284" spans="1:13" ht="28" customHeight="1">
      <c r="A284" s="4" t="s">
        <v>72</v>
      </c>
      <c r="B284" s="4" t="s">
        <v>73</v>
      </c>
      <c r="C284" s="4" t="s">
        <v>74</v>
      </c>
      <c r="D284" s="4" t="s">
        <v>75</v>
      </c>
      <c r="E284" s="4" t="s">
        <v>118</v>
      </c>
      <c r="F284" s="4">
        <v>1</v>
      </c>
      <c r="G284" s="6">
        <f>IF('评分录入'!M7="纳入",1,0)</f>
        <v>0</v>
      </c>
      <c r="H284" s="6">
        <f>IF(ISNUMBER('评分录入'!Z7),1,0)</f>
        <v>0</v>
      </c>
      <c r="I284" s="6">
        <f>IF(AND(ISNUMBER('评分录入'!Z7),'评分录入'!Z7=1),1,0)</f>
        <v>0</v>
      </c>
      <c r="J284" s="6">
        <f>IF(AND(ISNUMBER('评分录入'!Z7),'评分录入'!Z7=0.5),1,0)</f>
        <v>0</v>
      </c>
      <c r="K284" s="6">
        <f>IF(AND(ISNUMBER('评分录入'!Z7),'评分录入'!Z7=0),1,0)</f>
        <v>0</v>
      </c>
      <c r="L284" s="6">
        <f>G284-H284</f>
        <v>0</v>
      </c>
      <c r="M284" s="7">
        <f>IF(H284=0,"",(I284+J284*0.5)/H284)</f>
        <v/>
      </c>
    </row>
    <row r="285" spans="1:13" ht="28" customHeight="1">
      <c r="A285" s="4" t="s">
        <v>72</v>
      </c>
      <c r="B285" s="4" t="s">
        <v>73</v>
      </c>
      <c r="C285" s="4" t="s">
        <v>74</v>
      </c>
      <c r="D285" s="4" t="s">
        <v>75</v>
      </c>
      <c r="E285" s="4" t="s">
        <v>119</v>
      </c>
      <c r="F285" s="4">
        <v>1</v>
      </c>
      <c r="G285" s="6">
        <f>IF('评分录入'!M7="纳入",1,0)</f>
        <v>0</v>
      </c>
      <c r="H285" s="6">
        <f>IF(ISNUMBER('评分录入'!AA7),1,0)</f>
        <v>0</v>
      </c>
      <c r="I285" s="6">
        <f>IF(AND(ISNUMBER('评分录入'!AA7),'评分录入'!AA7=1),1,0)</f>
        <v>0</v>
      </c>
      <c r="J285" s="6">
        <f>IF(AND(ISNUMBER('评分录入'!AA7),'评分录入'!AA7=0.5),1,0)</f>
        <v>0</v>
      </c>
      <c r="K285" s="6">
        <f>IF(AND(ISNUMBER('评分录入'!AA7),'评分录入'!AA7=0),1,0)</f>
        <v>0</v>
      </c>
      <c r="L285" s="6">
        <f>G285-H285</f>
        <v>0</v>
      </c>
      <c r="M285" s="7">
        <f>IF(H285=0,"",(I285+J285*0.5)/H285)</f>
        <v/>
      </c>
    </row>
    <row r="286" spans="1:13" ht="28" customHeight="1">
      <c r="A286" s="4" t="s">
        <v>72</v>
      </c>
      <c r="B286" s="4" t="s">
        <v>73</v>
      </c>
      <c r="C286" s="4" t="s">
        <v>74</v>
      </c>
      <c r="D286" s="4" t="s">
        <v>75</v>
      </c>
      <c r="E286" s="4" t="s">
        <v>120</v>
      </c>
      <c r="F286" s="4">
        <v>1</v>
      </c>
      <c r="G286" s="6">
        <f>IF('评分录入'!M7="纳入",1,0)</f>
        <v>0</v>
      </c>
      <c r="H286" s="6">
        <f>IF(ISNUMBER('评分录入'!AB7),1,0)</f>
        <v>0</v>
      </c>
      <c r="I286" s="6">
        <f>IF(AND(ISNUMBER('评分录入'!AB7),'评分录入'!AB7=1),1,0)</f>
        <v>0</v>
      </c>
      <c r="J286" s="6">
        <f>IF(AND(ISNUMBER('评分录入'!AB7),'评分录入'!AB7=0.5),1,0)</f>
        <v>0</v>
      </c>
      <c r="K286" s="6">
        <f>IF(AND(ISNUMBER('评分录入'!AB7),'评分录入'!AB7=0),1,0)</f>
        <v>0</v>
      </c>
      <c r="L286" s="6">
        <f>G286-H286</f>
        <v>0</v>
      </c>
      <c r="M286" s="7">
        <f>IF(H286=0,"",(I286+J286*0.5)/H286)</f>
        <v/>
      </c>
    </row>
    <row r="287" spans="1:13" ht="28" customHeight="1">
      <c r="A287" s="4" t="s">
        <v>72</v>
      </c>
      <c r="B287" s="4" t="s">
        <v>73</v>
      </c>
      <c r="C287" s="4" t="s">
        <v>74</v>
      </c>
      <c r="D287" s="4" t="s">
        <v>75</v>
      </c>
      <c r="E287" s="4" t="s">
        <v>121</v>
      </c>
      <c r="F287" s="4">
        <v>1</v>
      </c>
      <c r="G287" s="6">
        <f>IF('评分录入'!M7="纳入",1,0)</f>
        <v>0</v>
      </c>
      <c r="H287" s="6">
        <f>IF(ISNUMBER('评分录入'!AC7),1,0)</f>
        <v>0</v>
      </c>
      <c r="I287" s="6">
        <f>IF(AND(ISNUMBER('评分录入'!AC7),'评分录入'!AC7=1),1,0)</f>
        <v>0</v>
      </c>
      <c r="J287" s="6">
        <f>IF(AND(ISNUMBER('评分录入'!AC7),'评分录入'!AC7=0.5),1,0)</f>
        <v>0</v>
      </c>
      <c r="K287" s="6">
        <f>IF(AND(ISNUMBER('评分录入'!AC7),'评分录入'!AC7=0),1,0)</f>
        <v>0</v>
      </c>
      <c r="L287" s="6">
        <f>G287-H287</f>
        <v>0</v>
      </c>
      <c r="M287" s="7">
        <f>IF(H287=0,"",(I287+J287*0.5)/H287)</f>
        <v/>
      </c>
    </row>
    <row r="288" spans="1:13" ht="28" customHeight="1">
      <c r="A288" s="4" t="s">
        <v>72</v>
      </c>
      <c r="B288" s="4" t="s">
        <v>73</v>
      </c>
      <c r="C288" s="4" t="s">
        <v>74</v>
      </c>
      <c r="D288" s="4" t="s">
        <v>75</v>
      </c>
      <c r="E288" s="4" t="s">
        <v>122</v>
      </c>
      <c r="F288" s="4">
        <v>1</v>
      </c>
      <c r="G288" s="6">
        <f>IF('评分录入'!M7="纳入",1,0)</f>
        <v>0</v>
      </c>
      <c r="H288" s="6">
        <f>IF(ISNUMBER('评分录入'!AD7),1,0)</f>
        <v>0</v>
      </c>
      <c r="I288" s="6">
        <f>IF(AND(ISNUMBER('评分录入'!AD7),'评分录入'!AD7=1),1,0)</f>
        <v>0</v>
      </c>
      <c r="J288" s="6">
        <f>IF(AND(ISNUMBER('评分录入'!AD7),'评分录入'!AD7=0.5),1,0)</f>
        <v>0</v>
      </c>
      <c r="K288" s="6">
        <f>IF(AND(ISNUMBER('评分录入'!AD7),'评分录入'!AD7=0),1,0)</f>
        <v>0</v>
      </c>
      <c r="L288" s="6">
        <f>G288-H288</f>
        <v>0</v>
      </c>
      <c r="M288" s="7">
        <f>IF(H288=0,"",(I288+J288*0.5)/H288)</f>
        <v/>
      </c>
    </row>
    <row r="289" spans="1:13" ht="28" customHeight="1">
      <c r="A289" s="4" t="s">
        <v>72</v>
      </c>
      <c r="B289" s="4" t="s">
        <v>73</v>
      </c>
      <c r="C289" s="4" t="s">
        <v>79</v>
      </c>
      <c r="D289" s="4" t="s">
        <v>75</v>
      </c>
      <c r="E289" s="4" t="s">
        <v>117</v>
      </c>
      <c r="F289" s="4">
        <v>1</v>
      </c>
      <c r="G289" s="6">
        <f>IF('评分录入'!M72="纳入",1,0)</f>
        <v>0</v>
      </c>
      <c r="H289" s="6">
        <f>IF(ISNUMBER('评分录入'!T72),1,0)</f>
        <v>0</v>
      </c>
      <c r="I289" s="6">
        <f>IF(AND(ISNUMBER('评分录入'!T72),'评分录入'!T72=1),1,0)</f>
        <v>0</v>
      </c>
      <c r="J289" s="6">
        <f>IF(AND(ISNUMBER('评分录入'!T72),'评分录入'!T72=0.5),1,0)</f>
        <v>0</v>
      </c>
      <c r="K289" s="6">
        <f>IF(AND(ISNUMBER('评分录入'!T72),'评分录入'!T72=0),1,0)</f>
        <v>0</v>
      </c>
      <c r="L289" s="6">
        <f>G289-H289</f>
        <v>0</v>
      </c>
      <c r="M289" s="7">
        <f>IF(H289=0,"",(I289+J289*0.5)/H289)</f>
        <v/>
      </c>
    </row>
    <row r="290" spans="1:13" ht="28" customHeight="1">
      <c r="A290" s="4" t="s">
        <v>72</v>
      </c>
      <c r="B290" s="4" t="s">
        <v>73</v>
      </c>
      <c r="C290" s="4" t="s">
        <v>79</v>
      </c>
      <c r="D290" s="4" t="s">
        <v>75</v>
      </c>
      <c r="E290" s="4" t="s">
        <v>118</v>
      </c>
      <c r="F290" s="4">
        <v>1</v>
      </c>
      <c r="G290" s="6">
        <f>IF('评分录入'!M72="纳入",1,0)</f>
        <v>0</v>
      </c>
      <c r="H290" s="6">
        <f>IF(ISNUMBER('评分录入'!Z72),1,0)</f>
        <v>0</v>
      </c>
      <c r="I290" s="6">
        <f>IF(AND(ISNUMBER('评分录入'!Z72),'评分录入'!Z72=1),1,0)</f>
        <v>0</v>
      </c>
      <c r="J290" s="6">
        <f>IF(AND(ISNUMBER('评分录入'!Z72),'评分录入'!Z72=0.5),1,0)</f>
        <v>0</v>
      </c>
      <c r="K290" s="6">
        <f>IF(AND(ISNUMBER('评分录入'!Z72),'评分录入'!Z72=0),1,0)</f>
        <v>0</v>
      </c>
      <c r="L290" s="6">
        <f>G290-H290</f>
        <v>0</v>
      </c>
      <c r="M290" s="7">
        <f>IF(H290=0,"",(I290+J290*0.5)/H290)</f>
        <v/>
      </c>
    </row>
    <row r="291" spans="1:13" ht="28" customHeight="1">
      <c r="A291" s="4" t="s">
        <v>72</v>
      </c>
      <c r="B291" s="4" t="s">
        <v>73</v>
      </c>
      <c r="C291" s="4" t="s">
        <v>79</v>
      </c>
      <c r="D291" s="4" t="s">
        <v>75</v>
      </c>
      <c r="E291" s="4" t="s">
        <v>119</v>
      </c>
      <c r="F291" s="4">
        <v>1</v>
      </c>
      <c r="G291" s="6">
        <f>IF('评分录入'!M72="纳入",1,0)</f>
        <v>0</v>
      </c>
      <c r="H291" s="6">
        <f>IF(ISNUMBER('评分录入'!AA72),1,0)</f>
        <v>0</v>
      </c>
      <c r="I291" s="6">
        <f>IF(AND(ISNUMBER('评分录入'!AA72),'评分录入'!AA72=1),1,0)</f>
        <v>0</v>
      </c>
      <c r="J291" s="6">
        <f>IF(AND(ISNUMBER('评分录入'!AA72),'评分录入'!AA72=0.5),1,0)</f>
        <v>0</v>
      </c>
      <c r="K291" s="6">
        <f>IF(AND(ISNUMBER('评分录入'!AA72),'评分录入'!AA72=0),1,0)</f>
        <v>0</v>
      </c>
      <c r="L291" s="6">
        <f>G291-H291</f>
        <v>0</v>
      </c>
      <c r="M291" s="7">
        <f>IF(H291=0,"",(I291+J291*0.5)/H291)</f>
        <v/>
      </c>
    </row>
    <row r="292" spans="1:13" ht="28" customHeight="1">
      <c r="A292" s="4" t="s">
        <v>72</v>
      </c>
      <c r="B292" s="4" t="s">
        <v>73</v>
      </c>
      <c r="C292" s="4" t="s">
        <v>79</v>
      </c>
      <c r="D292" s="4" t="s">
        <v>75</v>
      </c>
      <c r="E292" s="4" t="s">
        <v>120</v>
      </c>
      <c r="F292" s="4">
        <v>1</v>
      </c>
      <c r="G292" s="6">
        <f>IF('评分录入'!M72="纳入",1,0)</f>
        <v>0</v>
      </c>
      <c r="H292" s="6">
        <f>IF(ISNUMBER('评分录入'!AB72),1,0)</f>
        <v>0</v>
      </c>
      <c r="I292" s="6">
        <f>IF(AND(ISNUMBER('评分录入'!AB72),'评分录入'!AB72=1),1,0)</f>
        <v>0</v>
      </c>
      <c r="J292" s="6">
        <f>IF(AND(ISNUMBER('评分录入'!AB72),'评分录入'!AB72=0.5),1,0)</f>
        <v>0</v>
      </c>
      <c r="K292" s="6">
        <f>IF(AND(ISNUMBER('评分录入'!AB72),'评分录入'!AB72=0),1,0)</f>
        <v>0</v>
      </c>
      <c r="L292" s="6">
        <f>G292-H292</f>
        <v>0</v>
      </c>
      <c r="M292" s="7">
        <f>IF(H292=0,"",(I292+J292*0.5)/H292)</f>
        <v/>
      </c>
    </row>
    <row r="293" spans="1:13" ht="28" customHeight="1">
      <c r="A293" s="4" t="s">
        <v>72</v>
      </c>
      <c r="B293" s="4" t="s">
        <v>73</v>
      </c>
      <c r="C293" s="4" t="s">
        <v>79</v>
      </c>
      <c r="D293" s="4" t="s">
        <v>75</v>
      </c>
      <c r="E293" s="4" t="s">
        <v>121</v>
      </c>
      <c r="F293" s="4">
        <v>1</v>
      </c>
      <c r="G293" s="6">
        <f>IF('评分录入'!M72="纳入",1,0)</f>
        <v>0</v>
      </c>
      <c r="H293" s="6">
        <f>IF(ISNUMBER('评分录入'!AC72),1,0)</f>
        <v>0</v>
      </c>
      <c r="I293" s="6">
        <f>IF(AND(ISNUMBER('评分录入'!AC72),'评分录入'!AC72=1),1,0)</f>
        <v>0</v>
      </c>
      <c r="J293" s="6">
        <f>IF(AND(ISNUMBER('评分录入'!AC72),'评分录入'!AC72=0.5),1,0)</f>
        <v>0</v>
      </c>
      <c r="K293" s="6">
        <f>IF(AND(ISNUMBER('评分录入'!AC72),'评分录入'!AC72=0),1,0)</f>
        <v>0</v>
      </c>
      <c r="L293" s="6">
        <f>G293-H293</f>
        <v>0</v>
      </c>
      <c r="M293" s="7">
        <f>IF(H293=0,"",(I293+J293*0.5)/H293)</f>
        <v/>
      </c>
    </row>
    <row r="294" spans="1:13" ht="28" customHeight="1">
      <c r="A294" s="4" t="s">
        <v>72</v>
      </c>
      <c r="B294" s="4" t="s">
        <v>73</v>
      </c>
      <c r="C294" s="4" t="s">
        <v>79</v>
      </c>
      <c r="D294" s="4" t="s">
        <v>75</v>
      </c>
      <c r="E294" s="4" t="s">
        <v>122</v>
      </c>
      <c r="F294" s="4">
        <v>1</v>
      </c>
      <c r="G294" s="6">
        <f>IF('评分录入'!M72="纳入",1,0)</f>
        <v>0</v>
      </c>
      <c r="H294" s="6">
        <f>IF(ISNUMBER('评分录入'!AD72),1,0)</f>
        <v>0</v>
      </c>
      <c r="I294" s="6">
        <f>IF(AND(ISNUMBER('评分录入'!AD72),'评分录入'!AD72=1),1,0)</f>
        <v>0</v>
      </c>
      <c r="J294" s="6">
        <f>IF(AND(ISNUMBER('评分录入'!AD72),'评分录入'!AD72=0.5),1,0)</f>
        <v>0</v>
      </c>
      <c r="K294" s="6">
        <f>IF(AND(ISNUMBER('评分录入'!AD72),'评分录入'!AD72=0),1,0)</f>
        <v>0</v>
      </c>
      <c r="L294" s="6">
        <f>G294-H294</f>
        <v>0</v>
      </c>
      <c r="M294" s="7">
        <f>IF(H294=0,"",(I294+J294*0.5)/H294)</f>
        <v/>
      </c>
    </row>
    <row r="295" spans="1:13" ht="28" customHeight="1">
      <c r="A295" s="4" t="s">
        <v>72</v>
      </c>
      <c r="B295" s="4" t="s">
        <v>73</v>
      </c>
      <c r="C295" s="4" t="s">
        <v>74</v>
      </c>
      <c r="D295" s="4" t="s">
        <v>79</v>
      </c>
      <c r="E295" s="4" t="s">
        <v>117</v>
      </c>
      <c r="F295" s="4">
        <v>1</v>
      </c>
      <c r="G295" s="6">
        <f>IF('评分录入'!M57="纳入",1,0)</f>
        <v>0</v>
      </c>
      <c r="H295" s="6">
        <f>IF(ISNUMBER('评分录入'!T57),1,0)</f>
        <v>0</v>
      </c>
      <c r="I295" s="6">
        <f>IF(AND(ISNUMBER('评分录入'!T57),'评分录入'!T57=1),1,0)</f>
        <v>0</v>
      </c>
      <c r="J295" s="6">
        <f>IF(AND(ISNUMBER('评分录入'!T57),'评分录入'!T57=0.5),1,0)</f>
        <v>0</v>
      </c>
      <c r="K295" s="6">
        <f>IF(AND(ISNUMBER('评分录入'!T57),'评分录入'!T57=0),1,0)</f>
        <v>0</v>
      </c>
      <c r="L295" s="6">
        <f>G295-H295</f>
        <v>0</v>
      </c>
      <c r="M295" s="7">
        <f>IF(H295=0,"",(I295+J295*0.5)/H295)</f>
        <v/>
      </c>
    </row>
    <row r="296" spans="1:13" ht="28" customHeight="1">
      <c r="A296" s="4" t="s">
        <v>72</v>
      </c>
      <c r="B296" s="4" t="s">
        <v>73</v>
      </c>
      <c r="C296" s="4" t="s">
        <v>74</v>
      </c>
      <c r="D296" s="4" t="s">
        <v>79</v>
      </c>
      <c r="E296" s="4" t="s">
        <v>118</v>
      </c>
      <c r="F296" s="4">
        <v>1</v>
      </c>
      <c r="G296" s="6">
        <f>IF('评分录入'!M57="纳入",1,0)</f>
        <v>0</v>
      </c>
      <c r="H296" s="6">
        <f>IF(ISNUMBER('评分录入'!Z57),1,0)</f>
        <v>0</v>
      </c>
      <c r="I296" s="6">
        <f>IF(AND(ISNUMBER('评分录入'!Z57),'评分录入'!Z57=1),1,0)</f>
        <v>0</v>
      </c>
      <c r="J296" s="6">
        <f>IF(AND(ISNUMBER('评分录入'!Z57),'评分录入'!Z57=0.5),1,0)</f>
        <v>0</v>
      </c>
      <c r="K296" s="6">
        <f>IF(AND(ISNUMBER('评分录入'!Z57),'评分录入'!Z57=0),1,0)</f>
        <v>0</v>
      </c>
      <c r="L296" s="6">
        <f>G296-H296</f>
        <v>0</v>
      </c>
      <c r="M296" s="7">
        <f>IF(H296=0,"",(I296+J296*0.5)/H296)</f>
        <v/>
      </c>
    </row>
    <row r="297" spans="1:13" ht="28" customHeight="1">
      <c r="A297" s="4" t="s">
        <v>72</v>
      </c>
      <c r="B297" s="4" t="s">
        <v>73</v>
      </c>
      <c r="C297" s="4" t="s">
        <v>74</v>
      </c>
      <c r="D297" s="4" t="s">
        <v>79</v>
      </c>
      <c r="E297" s="4" t="s">
        <v>119</v>
      </c>
      <c r="F297" s="4">
        <v>1</v>
      </c>
      <c r="G297" s="6">
        <f>IF('评分录入'!M57="纳入",1,0)</f>
        <v>0</v>
      </c>
      <c r="H297" s="6">
        <f>IF(ISNUMBER('评分录入'!AA57),1,0)</f>
        <v>0</v>
      </c>
      <c r="I297" s="6">
        <f>IF(AND(ISNUMBER('评分录入'!AA57),'评分录入'!AA57=1),1,0)</f>
        <v>0</v>
      </c>
      <c r="J297" s="6">
        <f>IF(AND(ISNUMBER('评分录入'!AA57),'评分录入'!AA57=0.5),1,0)</f>
        <v>0</v>
      </c>
      <c r="K297" s="6">
        <f>IF(AND(ISNUMBER('评分录入'!AA57),'评分录入'!AA57=0),1,0)</f>
        <v>0</v>
      </c>
      <c r="L297" s="6">
        <f>G297-H297</f>
        <v>0</v>
      </c>
      <c r="M297" s="7">
        <f>IF(H297=0,"",(I297+J297*0.5)/H297)</f>
        <v/>
      </c>
    </row>
    <row r="298" spans="1:13" ht="28" customHeight="1">
      <c r="A298" s="4" t="s">
        <v>72</v>
      </c>
      <c r="B298" s="4" t="s">
        <v>73</v>
      </c>
      <c r="C298" s="4" t="s">
        <v>74</v>
      </c>
      <c r="D298" s="4" t="s">
        <v>79</v>
      </c>
      <c r="E298" s="4" t="s">
        <v>120</v>
      </c>
      <c r="F298" s="4">
        <v>1</v>
      </c>
      <c r="G298" s="6">
        <f>IF('评分录入'!M57="纳入",1,0)</f>
        <v>0</v>
      </c>
      <c r="H298" s="6">
        <f>IF(ISNUMBER('评分录入'!AB57),1,0)</f>
        <v>0</v>
      </c>
      <c r="I298" s="6">
        <f>IF(AND(ISNUMBER('评分录入'!AB57),'评分录入'!AB57=1),1,0)</f>
        <v>0</v>
      </c>
      <c r="J298" s="6">
        <f>IF(AND(ISNUMBER('评分录入'!AB57),'评分录入'!AB57=0.5),1,0)</f>
        <v>0</v>
      </c>
      <c r="K298" s="6">
        <f>IF(AND(ISNUMBER('评分录入'!AB57),'评分录入'!AB57=0),1,0)</f>
        <v>0</v>
      </c>
      <c r="L298" s="6">
        <f>G298-H298</f>
        <v>0</v>
      </c>
      <c r="M298" s="7">
        <f>IF(H298=0,"",(I298+J298*0.5)/H298)</f>
        <v/>
      </c>
    </row>
    <row r="299" spans="1:13" ht="28" customHeight="1">
      <c r="A299" s="4" t="s">
        <v>72</v>
      </c>
      <c r="B299" s="4" t="s">
        <v>73</v>
      </c>
      <c r="C299" s="4" t="s">
        <v>74</v>
      </c>
      <c r="D299" s="4" t="s">
        <v>79</v>
      </c>
      <c r="E299" s="4" t="s">
        <v>121</v>
      </c>
      <c r="F299" s="4">
        <v>1</v>
      </c>
      <c r="G299" s="6">
        <f>IF('评分录入'!M57="纳入",1,0)</f>
        <v>0</v>
      </c>
      <c r="H299" s="6">
        <f>IF(ISNUMBER('评分录入'!AC57),1,0)</f>
        <v>0</v>
      </c>
      <c r="I299" s="6">
        <f>IF(AND(ISNUMBER('评分录入'!AC57),'评分录入'!AC57=1),1,0)</f>
        <v>0</v>
      </c>
      <c r="J299" s="6">
        <f>IF(AND(ISNUMBER('评分录入'!AC57),'评分录入'!AC57=0.5),1,0)</f>
        <v>0</v>
      </c>
      <c r="K299" s="6">
        <f>IF(AND(ISNUMBER('评分录入'!AC57),'评分录入'!AC57=0),1,0)</f>
        <v>0</v>
      </c>
      <c r="L299" s="6">
        <f>G299-H299</f>
        <v>0</v>
      </c>
      <c r="M299" s="7">
        <f>IF(H299=0,"",(I299+J299*0.5)/H299)</f>
        <v/>
      </c>
    </row>
    <row r="300" spans="1:13" ht="28" customHeight="1">
      <c r="A300" s="4" t="s">
        <v>72</v>
      </c>
      <c r="B300" s="4" t="s">
        <v>73</v>
      </c>
      <c r="C300" s="4" t="s">
        <v>74</v>
      </c>
      <c r="D300" s="4" t="s">
        <v>79</v>
      </c>
      <c r="E300" s="4" t="s">
        <v>122</v>
      </c>
      <c r="F300" s="4">
        <v>1</v>
      </c>
      <c r="G300" s="6">
        <f>IF('评分录入'!M57="纳入",1,0)</f>
        <v>0</v>
      </c>
      <c r="H300" s="6">
        <f>IF(ISNUMBER('评分录入'!AD57),1,0)</f>
        <v>0</v>
      </c>
      <c r="I300" s="6">
        <f>IF(AND(ISNUMBER('评分录入'!AD57),'评分录入'!AD57=1),1,0)</f>
        <v>0</v>
      </c>
      <c r="J300" s="6">
        <f>IF(AND(ISNUMBER('评分录入'!AD57),'评分录入'!AD57=0.5),1,0)</f>
        <v>0</v>
      </c>
      <c r="K300" s="6">
        <f>IF(AND(ISNUMBER('评分录入'!AD57),'评分录入'!AD57=0),1,0)</f>
        <v>0</v>
      </c>
      <c r="L300" s="6">
        <f>G300-H300</f>
        <v>0</v>
      </c>
      <c r="M300" s="7">
        <f>IF(H300=0,"",(I300+J300*0.5)/H300)</f>
        <v/>
      </c>
    </row>
    <row r="301" spans="1:13" ht="28" customHeight="1">
      <c r="A301" s="4" t="s">
        <v>72</v>
      </c>
      <c r="B301" s="4" t="s">
        <v>73</v>
      </c>
      <c r="C301" s="4" t="s">
        <v>74</v>
      </c>
      <c r="D301" s="4" t="s">
        <v>87</v>
      </c>
      <c r="E301" s="4" t="s">
        <v>117</v>
      </c>
      <c r="F301" s="4">
        <v>1</v>
      </c>
      <c r="G301" s="6">
        <f>IF('评分录入'!M62="纳入",1,0)</f>
        <v>0</v>
      </c>
      <c r="H301" s="6">
        <f>IF(ISNUMBER('评分录入'!T62),1,0)</f>
        <v>0</v>
      </c>
      <c r="I301" s="6">
        <f>IF(AND(ISNUMBER('评分录入'!T62),'评分录入'!T62=1),1,0)</f>
        <v>0</v>
      </c>
      <c r="J301" s="6">
        <f>IF(AND(ISNUMBER('评分录入'!T62),'评分录入'!T62=0.5),1,0)</f>
        <v>0</v>
      </c>
      <c r="K301" s="6">
        <f>IF(AND(ISNUMBER('评分录入'!T62),'评分录入'!T62=0),1,0)</f>
        <v>0</v>
      </c>
      <c r="L301" s="6">
        <f>G301-H301</f>
        <v>0</v>
      </c>
      <c r="M301" s="7">
        <f>IF(H301=0,"",(I301+J301*0.5)/H301)</f>
        <v/>
      </c>
    </row>
    <row r="302" spans="1:13" ht="28" customHeight="1">
      <c r="A302" s="4" t="s">
        <v>72</v>
      </c>
      <c r="B302" s="4" t="s">
        <v>73</v>
      </c>
      <c r="C302" s="4" t="s">
        <v>74</v>
      </c>
      <c r="D302" s="4" t="s">
        <v>87</v>
      </c>
      <c r="E302" s="4" t="s">
        <v>118</v>
      </c>
      <c r="F302" s="4">
        <v>1</v>
      </c>
      <c r="G302" s="6">
        <f>IF('评分录入'!M62="纳入",1,0)</f>
        <v>0</v>
      </c>
      <c r="H302" s="6">
        <f>IF(ISNUMBER('评分录入'!Z62),1,0)</f>
        <v>0</v>
      </c>
      <c r="I302" s="6">
        <f>IF(AND(ISNUMBER('评分录入'!Z62),'评分录入'!Z62=1),1,0)</f>
        <v>0</v>
      </c>
      <c r="J302" s="6">
        <f>IF(AND(ISNUMBER('评分录入'!Z62),'评分录入'!Z62=0.5),1,0)</f>
        <v>0</v>
      </c>
      <c r="K302" s="6">
        <f>IF(AND(ISNUMBER('评分录入'!Z62),'评分录入'!Z62=0),1,0)</f>
        <v>0</v>
      </c>
      <c r="L302" s="6">
        <f>G302-H302</f>
        <v>0</v>
      </c>
      <c r="M302" s="7">
        <f>IF(H302=0,"",(I302+J302*0.5)/H302)</f>
        <v/>
      </c>
    </row>
    <row r="303" spans="1:13" ht="28" customHeight="1">
      <c r="A303" s="4" t="s">
        <v>72</v>
      </c>
      <c r="B303" s="4" t="s">
        <v>73</v>
      </c>
      <c r="C303" s="4" t="s">
        <v>74</v>
      </c>
      <c r="D303" s="4" t="s">
        <v>87</v>
      </c>
      <c r="E303" s="4" t="s">
        <v>119</v>
      </c>
      <c r="F303" s="4">
        <v>1</v>
      </c>
      <c r="G303" s="6">
        <f>IF('评分录入'!M62="纳入",1,0)</f>
        <v>0</v>
      </c>
      <c r="H303" s="6">
        <f>IF(ISNUMBER('评分录入'!AA62),1,0)</f>
        <v>0</v>
      </c>
      <c r="I303" s="6">
        <f>IF(AND(ISNUMBER('评分录入'!AA62),'评分录入'!AA62=1),1,0)</f>
        <v>0</v>
      </c>
      <c r="J303" s="6">
        <f>IF(AND(ISNUMBER('评分录入'!AA62),'评分录入'!AA62=0.5),1,0)</f>
        <v>0</v>
      </c>
      <c r="K303" s="6">
        <f>IF(AND(ISNUMBER('评分录入'!AA62),'评分录入'!AA62=0),1,0)</f>
        <v>0</v>
      </c>
      <c r="L303" s="6">
        <f>G303-H303</f>
        <v>0</v>
      </c>
      <c r="M303" s="7">
        <f>IF(H303=0,"",(I303+J303*0.5)/H303)</f>
        <v/>
      </c>
    </row>
    <row r="304" spans="1:13" ht="28" customHeight="1">
      <c r="A304" s="4" t="s">
        <v>72</v>
      </c>
      <c r="B304" s="4" t="s">
        <v>73</v>
      </c>
      <c r="C304" s="4" t="s">
        <v>74</v>
      </c>
      <c r="D304" s="4" t="s">
        <v>87</v>
      </c>
      <c r="E304" s="4" t="s">
        <v>120</v>
      </c>
      <c r="F304" s="4">
        <v>1</v>
      </c>
      <c r="G304" s="6">
        <f>IF('评分录入'!M62="纳入",1,0)</f>
        <v>0</v>
      </c>
      <c r="H304" s="6">
        <f>IF(ISNUMBER('评分录入'!AB62),1,0)</f>
        <v>0</v>
      </c>
      <c r="I304" s="6">
        <f>IF(AND(ISNUMBER('评分录入'!AB62),'评分录入'!AB62=1),1,0)</f>
        <v>0</v>
      </c>
      <c r="J304" s="6">
        <f>IF(AND(ISNUMBER('评分录入'!AB62),'评分录入'!AB62=0.5),1,0)</f>
        <v>0</v>
      </c>
      <c r="K304" s="6">
        <f>IF(AND(ISNUMBER('评分录入'!AB62),'评分录入'!AB62=0),1,0)</f>
        <v>0</v>
      </c>
      <c r="L304" s="6">
        <f>G304-H304</f>
        <v>0</v>
      </c>
      <c r="M304" s="7">
        <f>IF(H304=0,"",(I304+J304*0.5)/H304)</f>
        <v/>
      </c>
    </row>
    <row r="305" spans="1:13" ht="28" customHeight="1">
      <c r="A305" s="4" t="s">
        <v>72</v>
      </c>
      <c r="B305" s="4" t="s">
        <v>73</v>
      </c>
      <c r="C305" s="4" t="s">
        <v>74</v>
      </c>
      <c r="D305" s="4" t="s">
        <v>87</v>
      </c>
      <c r="E305" s="4" t="s">
        <v>121</v>
      </c>
      <c r="F305" s="4">
        <v>1</v>
      </c>
      <c r="G305" s="6">
        <f>IF('评分录入'!M62="纳入",1,0)</f>
        <v>0</v>
      </c>
      <c r="H305" s="6">
        <f>IF(ISNUMBER('评分录入'!AC62),1,0)</f>
        <v>0</v>
      </c>
      <c r="I305" s="6">
        <f>IF(AND(ISNUMBER('评分录入'!AC62),'评分录入'!AC62=1),1,0)</f>
        <v>0</v>
      </c>
      <c r="J305" s="6">
        <f>IF(AND(ISNUMBER('评分录入'!AC62),'评分录入'!AC62=0.5),1,0)</f>
        <v>0</v>
      </c>
      <c r="K305" s="6">
        <f>IF(AND(ISNUMBER('评分录入'!AC62),'评分录入'!AC62=0),1,0)</f>
        <v>0</v>
      </c>
      <c r="L305" s="6">
        <f>G305-H305</f>
        <v>0</v>
      </c>
      <c r="M305" s="7">
        <f>IF(H305=0,"",(I305+J305*0.5)/H305)</f>
        <v/>
      </c>
    </row>
    <row r="306" spans="1:13" ht="28" customHeight="1">
      <c r="A306" s="4" t="s">
        <v>72</v>
      </c>
      <c r="B306" s="4" t="s">
        <v>73</v>
      </c>
      <c r="C306" s="4" t="s">
        <v>74</v>
      </c>
      <c r="D306" s="4" t="s">
        <v>87</v>
      </c>
      <c r="E306" s="4" t="s">
        <v>122</v>
      </c>
      <c r="F306" s="4">
        <v>1</v>
      </c>
      <c r="G306" s="6">
        <f>IF('评分录入'!M62="纳入",1,0)</f>
        <v>0</v>
      </c>
      <c r="H306" s="6">
        <f>IF(ISNUMBER('评分录入'!AD62),1,0)</f>
        <v>0</v>
      </c>
      <c r="I306" s="6">
        <f>IF(AND(ISNUMBER('评分录入'!AD62),'评分录入'!AD62=1),1,0)</f>
        <v>0</v>
      </c>
      <c r="J306" s="6">
        <f>IF(AND(ISNUMBER('评分录入'!AD62),'评分录入'!AD62=0.5),1,0)</f>
        <v>0</v>
      </c>
      <c r="K306" s="6">
        <f>IF(AND(ISNUMBER('评分录入'!AD62),'评分录入'!AD62=0),1,0)</f>
        <v>0</v>
      </c>
      <c r="L306" s="6">
        <f>G306-H306</f>
        <v>0</v>
      </c>
      <c r="M306" s="7">
        <f>IF(H306=0,"",(I306+J306*0.5)/H306)</f>
        <v/>
      </c>
    </row>
    <row r="307" spans="1:13" ht="28" customHeight="1">
      <c r="A307" s="4" t="s">
        <v>72</v>
      </c>
      <c r="B307" s="4" t="s">
        <v>73</v>
      </c>
      <c r="C307" s="4" t="s">
        <v>75</v>
      </c>
      <c r="D307" s="4" t="s">
        <v>87</v>
      </c>
      <c r="E307" s="4" t="s">
        <v>117</v>
      </c>
      <c r="F307" s="4">
        <v>2</v>
      </c>
      <c r="G307" s="6">
        <f>IF('评分录入'!M18="纳入",1,0)+IF('评分录入'!M36="纳入",1,0)</f>
        <v>0</v>
      </c>
      <c r="H307" s="6">
        <f>IF(ISNUMBER('评分录入'!T18),1,0)+IF(ISNUMBER('评分录入'!T36),1,0)</f>
        <v>0</v>
      </c>
      <c r="I307" s="6">
        <f>IF(AND(ISNUMBER('评分录入'!T18),'评分录入'!T18=1),1,0)+IF(AND(ISNUMBER('评分录入'!T36),'评分录入'!T36=1),1,0)</f>
        <v>0</v>
      </c>
      <c r="J307" s="6">
        <f>IF(AND(ISNUMBER('评分录入'!T18),'评分录入'!T18=0.5),1,0)+IF(AND(ISNUMBER('评分录入'!T36),'评分录入'!T36=0.5),1,0)</f>
        <v>0</v>
      </c>
      <c r="K307" s="6">
        <f>IF(AND(ISNUMBER('评分录入'!T18),'评分录入'!T18=0),1,0)+IF(AND(ISNUMBER('评分录入'!T36),'评分录入'!T36=0),1,0)</f>
        <v>0</v>
      </c>
      <c r="L307" s="6">
        <f>G307-H307</f>
        <v>0</v>
      </c>
      <c r="M307" s="7">
        <f>IF(H307=0,"",(I307+J307*0.5)/H307)</f>
        <v/>
      </c>
    </row>
    <row r="308" spans="1:13" ht="28" customHeight="1">
      <c r="A308" s="4" t="s">
        <v>72</v>
      </c>
      <c r="B308" s="4" t="s">
        <v>73</v>
      </c>
      <c r="C308" s="4" t="s">
        <v>75</v>
      </c>
      <c r="D308" s="4" t="s">
        <v>87</v>
      </c>
      <c r="E308" s="4" t="s">
        <v>118</v>
      </c>
      <c r="F308" s="4">
        <v>2</v>
      </c>
      <c r="G308" s="6">
        <f>IF('评分录入'!M18="纳入",1,0)+IF('评分录入'!M36="纳入",1,0)</f>
        <v>0</v>
      </c>
      <c r="H308" s="6">
        <f>IF(ISNUMBER('评分录入'!Z18),1,0)+IF(ISNUMBER('评分录入'!Z36),1,0)</f>
        <v>0</v>
      </c>
      <c r="I308" s="6">
        <f>IF(AND(ISNUMBER('评分录入'!Z18),'评分录入'!Z18=1),1,0)+IF(AND(ISNUMBER('评分录入'!Z36),'评分录入'!Z36=1),1,0)</f>
        <v>0</v>
      </c>
      <c r="J308" s="6">
        <f>IF(AND(ISNUMBER('评分录入'!Z18),'评分录入'!Z18=0.5),1,0)+IF(AND(ISNUMBER('评分录入'!Z36),'评分录入'!Z36=0.5),1,0)</f>
        <v>0</v>
      </c>
      <c r="K308" s="6">
        <f>IF(AND(ISNUMBER('评分录入'!Z18),'评分录入'!Z18=0),1,0)+IF(AND(ISNUMBER('评分录入'!Z36),'评分录入'!Z36=0),1,0)</f>
        <v>0</v>
      </c>
      <c r="L308" s="6">
        <f>G308-H308</f>
        <v>0</v>
      </c>
      <c r="M308" s="7">
        <f>IF(H308=0,"",(I308+J308*0.5)/H308)</f>
        <v/>
      </c>
    </row>
    <row r="309" spans="1:13" ht="28" customHeight="1">
      <c r="A309" s="4" t="s">
        <v>72</v>
      </c>
      <c r="B309" s="4" t="s">
        <v>73</v>
      </c>
      <c r="C309" s="4" t="s">
        <v>75</v>
      </c>
      <c r="D309" s="4" t="s">
        <v>87</v>
      </c>
      <c r="E309" s="4" t="s">
        <v>119</v>
      </c>
      <c r="F309" s="4">
        <v>2</v>
      </c>
      <c r="G309" s="6">
        <f>IF('评分录入'!M18="纳入",1,0)+IF('评分录入'!M36="纳入",1,0)</f>
        <v>0</v>
      </c>
      <c r="H309" s="6">
        <f>IF(ISNUMBER('评分录入'!AA18),1,0)+IF(ISNUMBER('评分录入'!AA36),1,0)</f>
        <v>0</v>
      </c>
      <c r="I309" s="6">
        <f>IF(AND(ISNUMBER('评分录入'!AA18),'评分录入'!AA18=1),1,0)+IF(AND(ISNUMBER('评分录入'!AA36),'评分录入'!AA36=1),1,0)</f>
        <v>0</v>
      </c>
      <c r="J309" s="6">
        <f>IF(AND(ISNUMBER('评分录入'!AA18),'评分录入'!AA18=0.5),1,0)+IF(AND(ISNUMBER('评分录入'!AA36),'评分录入'!AA36=0.5),1,0)</f>
        <v>0</v>
      </c>
      <c r="K309" s="6">
        <f>IF(AND(ISNUMBER('评分录入'!AA18),'评分录入'!AA18=0),1,0)+IF(AND(ISNUMBER('评分录入'!AA36),'评分录入'!AA36=0),1,0)</f>
        <v>0</v>
      </c>
      <c r="L309" s="6">
        <f>G309-H309</f>
        <v>0</v>
      </c>
      <c r="M309" s="7">
        <f>IF(H309=0,"",(I309+J309*0.5)/H309)</f>
        <v/>
      </c>
    </row>
    <row r="310" spans="1:13" ht="28" customHeight="1">
      <c r="A310" s="4" t="s">
        <v>72</v>
      </c>
      <c r="B310" s="4" t="s">
        <v>73</v>
      </c>
      <c r="C310" s="4" t="s">
        <v>75</v>
      </c>
      <c r="D310" s="4" t="s">
        <v>87</v>
      </c>
      <c r="E310" s="4" t="s">
        <v>120</v>
      </c>
      <c r="F310" s="4">
        <v>2</v>
      </c>
      <c r="G310" s="6">
        <f>IF('评分录入'!M18="纳入",1,0)+IF('评分录入'!M36="纳入",1,0)</f>
        <v>0</v>
      </c>
      <c r="H310" s="6">
        <f>IF(ISNUMBER('评分录入'!AB18),1,0)+IF(ISNUMBER('评分录入'!AB36),1,0)</f>
        <v>0</v>
      </c>
      <c r="I310" s="6">
        <f>IF(AND(ISNUMBER('评分录入'!AB18),'评分录入'!AB18=1),1,0)+IF(AND(ISNUMBER('评分录入'!AB36),'评分录入'!AB36=1),1,0)</f>
        <v>0</v>
      </c>
      <c r="J310" s="6">
        <f>IF(AND(ISNUMBER('评分录入'!AB18),'评分录入'!AB18=0.5),1,0)+IF(AND(ISNUMBER('评分录入'!AB36),'评分录入'!AB36=0.5),1,0)</f>
        <v>0</v>
      </c>
      <c r="K310" s="6">
        <f>IF(AND(ISNUMBER('评分录入'!AB18),'评分录入'!AB18=0),1,0)+IF(AND(ISNUMBER('评分录入'!AB36),'评分录入'!AB36=0),1,0)</f>
        <v>0</v>
      </c>
      <c r="L310" s="6">
        <f>G310-H310</f>
        <v>0</v>
      </c>
      <c r="M310" s="7">
        <f>IF(H310=0,"",(I310+J310*0.5)/H310)</f>
        <v/>
      </c>
    </row>
    <row r="311" spans="1:13" ht="28" customHeight="1">
      <c r="A311" s="4" t="s">
        <v>72</v>
      </c>
      <c r="B311" s="4" t="s">
        <v>73</v>
      </c>
      <c r="C311" s="4" t="s">
        <v>75</v>
      </c>
      <c r="D311" s="4" t="s">
        <v>87</v>
      </c>
      <c r="E311" s="4" t="s">
        <v>121</v>
      </c>
      <c r="F311" s="4">
        <v>2</v>
      </c>
      <c r="G311" s="6">
        <f>IF('评分录入'!M18="纳入",1,0)+IF('评分录入'!M36="纳入",1,0)</f>
        <v>0</v>
      </c>
      <c r="H311" s="6">
        <f>IF(ISNUMBER('评分录入'!AC18),1,0)+IF(ISNUMBER('评分录入'!AC36),1,0)</f>
        <v>0</v>
      </c>
      <c r="I311" s="6">
        <f>IF(AND(ISNUMBER('评分录入'!AC18),'评分录入'!AC18=1),1,0)+IF(AND(ISNUMBER('评分录入'!AC36),'评分录入'!AC36=1),1,0)</f>
        <v>0</v>
      </c>
      <c r="J311" s="6">
        <f>IF(AND(ISNUMBER('评分录入'!AC18),'评分录入'!AC18=0.5),1,0)+IF(AND(ISNUMBER('评分录入'!AC36),'评分录入'!AC36=0.5),1,0)</f>
        <v>0</v>
      </c>
      <c r="K311" s="6">
        <f>IF(AND(ISNUMBER('评分录入'!AC18),'评分录入'!AC18=0),1,0)+IF(AND(ISNUMBER('评分录入'!AC36),'评分录入'!AC36=0),1,0)</f>
        <v>0</v>
      </c>
      <c r="L311" s="6">
        <f>G311-H311</f>
        <v>0</v>
      </c>
      <c r="M311" s="7">
        <f>IF(H311=0,"",(I311+J311*0.5)/H311)</f>
        <v/>
      </c>
    </row>
    <row r="312" spans="1:13" ht="28" customHeight="1">
      <c r="A312" s="4" t="s">
        <v>72</v>
      </c>
      <c r="B312" s="4" t="s">
        <v>73</v>
      </c>
      <c r="C312" s="4" t="s">
        <v>75</v>
      </c>
      <c r="D312" s="4" t="s">
        <v>87</v>
      </c>
      <c r="E312" s="4" t="s">
        <v>122</v>
      </c>
      <c r="F312" s="4">
        <v>2</v>
      </c>
      <c r="G312" s="6">
        <f>IF('评分录入'!M18="纳入",1,0)+IF('评分录入'!M36="纳入",1,0)</f>
        <v>0</v>
      </c>
      <c r="H312" s="6">
        <f>IF(ISNUMBER('评分录入'!AD18),1,0)+IF(ISNUMBER('评分录入'!AD36),1,0)</f>
        <v>0</v>
      </c>
      <c r="I312" s="6">
        <f>IF(AND(ISNUMBER('评分录入'!AD18),'评分录入'!AD18=1),1,0)+IF(AND(ISNUMBER('评分录入'!AD36),'评分录入'!AD36=1),1,0)</f>
        <v>0</v>
      </c>
      <c r="J312" s="6">
        <f>IF(AND(ISNUMBER('评分录入'!AD18),'评分录入'!AD18=0.5),1,0)+IF(AND(ISNUMBER('评分录入'!AD36),'评分录入'!AD36=0.5),1,0)</f>
        <v>0</v>
      </c>
      <c r="K312" s="6">
        <f>IF(AND(ISNUMBER('评分录入'!AD18),'评分录入'!AD18=0),1,0)+IF(AND(ISNUMBER('评分录入'!AD36),'评分录入'!AD36=0),1,0)</f>
        <v>0</v>
      </c>
      <c r="L312" s="6">
        <f>G312-H312</f>
        <v>0</v>
      </c>
      <c r="M312" s="7">
        <f>IF(H312=0,"",(I312+J312*0.5)/H312)</f>
        <v/>
      </c>
    </row>
  </sheetData>
  <sheetProtection sheet="1" objects="1" scenarios="1" autoFilter="0"/>
  <autoFilter ref="A6:M312"/>
  <mergeCells count="2">
    <mergeCell ref="A1:M1"/>
    <mergeCell ref="A2:M4"/>
  </mergeCells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87F83"/>
    <pageSetUpPr fitToPage="1"/>
  </sheetPr>
  <dimension ref="A1:G72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8" customHeight="1"/>
  <cols>
    <col min="1" max="7" width="16.7109375" customWidth="1"/>
    <col min="4" max="4" width="44.7109375" customWidth="1"/>
    <col min="5" max="6" width="28.7109375" customWidth="1"/>
    <col min="7" max="7" width="22.7109375" customWidth="1"/>
  </cols>
  <sheetData>
    <row r="1" spans="1:7" ht="36" customHeight="1">
      <c r="A1" s="1" t="s">
        <v>142</v>
      </c>
      <c r="B1" s="1"/>
      <c r="C1" s="1"/>
      <c r="D1" s="1"/>
      <c r="E1" s="1"/>
      <c r="F1" s="1"/>
      <c r="G1" s="1"/>
    </row>
    <row r="2" spans="1:7" ht="28" customHeight="1">
      <c r="A2" s="3" t="s">
        <v>143</v>
      </c>
      <c r="B2" s="3"/>
      <c r="C2" s="3"/>
      <c r="D2" s="3"/>
      <c r="E2" s="3"/>
      <c r="F2" s="3"/>
      <c r="G2" s="3"/>
    </row>
    <row r="3" spans="1:7" ht="28" customHeight="1">
      <c r="A3" s="3"/>
      <c r="B3" s="3"/>
      <c r="C3" s="3"/>
      <c r="D3" s="3"/>
      <c r="E3" s="3"/>
      <c r="F3" s="3"/>
      <c r="G3" s="3"/>
    </row>
    <row r="4" spans="1:7" ht="28" customHeight="1">
      <c r="A4" s="3"/>
      <c r="B4" s="3"/>
      <c r="C4" s="3"/>
      <c r="D4" s="3"/>
      <c r="E4" s="3"/>
      <c r="F4" s="3"/>
      <c r="G4" s="3"/>
    </row>
    <row r="6" spans="1:7" ht="42" customHeight="1">
      <c r="A6" s="2" t="s">
        <v>28</v>
      </c>
      <c r="B6" s="2" t="s">
        <v>42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144</v>
      </c>
    </row>
    <row r="7" spans="1:7" ht="28" customHeight="1">
      <c r="A7" s="4" t="s">
        <v>70</v>
      </c>
      <c r="B7" s="4">
        <v>1</v>
      </c>
      <c r="C7" s="4" t="s">
        <v>72</v>
      </c>
      <c r="D7" s="4" t="s">
        <v>73</v>
      </c>
      <c r="E7" s="4" t="s">
        <v>74</v>
      </c>
      <c r="F7" s="4" t="s">
        <v>75</v>
      </c>
      <c r="G7" s="4" t="s">
        <v>145</v>
      </c>
    </row>
    <row r="8" spans="1:7" ht="28" customHeight="1">
      <c r="A8" s="4" t="s">
        <v>70</v>
      </c>
      <c r="B8" s="4">
        <v>2</v>
      </c>
      <c r="C8" s="4" t="s">
        <v>72</v>
      </c>
      <c r="D8" s="4" t="s">
        <v>77</v>
      </c>
      <c r="E8" s="4" t="s">
        <v>78</v>
      </c>
      <c r="F8" s="4" t="s">
        <v>79</v>
      </c>
      <c r="G8" s="4" t="s">
        <v>146</v>
      </c>
    </row>
    <row r="9" spans="1:7" ht="28" customHeight="1">
      <c r="A9" s="4" t="s">
        <v>70</v>
      </c>
      <c r="B9" s="4">
        <v>3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147</v>
      </c>
    </row>
    <row r="10" spans="1:7" ht="28" customHeight="1">
      <c r="A10" s="4" t="s">
        <v>70</v>
      </c>
      <c r="B10" s="4">
        <v>4</v>
      </c>
      <c r="C10" s="4" t="s">
        <v>72</v>
      </c>
      <c r="D10" s="4" t="s">
        <v>86</v>
      </c>
      <c r="E10" s="4" t="s">
        <v>79</v>
      </c>
      <c r="F10" s="4" t="s">
        <v>87</v>
      </c>
      <c r="G10" s="4" t="s">
        <v>148</v>
      </c>
    </row>
    <row r="11" spans="1:7" ht="28" customHeight="1">
      <c r="A11" s="4" t="s">
        <v>70</v>
      </c>
      <c r="B11" s="4">
        <v>5</v>
      </c>
      <c r="C11" s="4" t="s">
        <v>72</v>
      </c>
      <c r="D11" s="4" t="s">
        <v>77</v>
      </c>
      <c r="E11" s="4" t="s">
        <v>89</v>
      </c>
      <c r="F11" s="4" t="s">
        <v>79</v>
      </c>
      <c r="G11" s="4" t="s">
        <v>149</v>
      </c>
    </row>
    <row r="12" spans="1:7" ht="28" customHeight="1">
      <c r="A12" s="4" t="s">
        <v>70</v>
      </c>
      <c r="B12" s="4">
        <v>6</v>
      </c>
      <c r="C12" s="4" t="s">
        <v>81</v>
      </c>
      <c r="D12" s="4" t="s">
        <v>91</v>
      </c>
      <c r="E12" s="4" t="s">
        <v>84</v>
      </c>
      <c r="F12" s="4" t="s">
        <v>83</v>
      </c>
      <c r="G12" s="4" t="s">
        <v>150</v>
      </c>
    </row>
    <row r="13" spans="1:7" ht="28" customHeight="1">
      <c r="A13" s="4" t="s">
        <v>92</v>
      </c>
      <c r="B13" s="4">
        <v>1</v>
      </c>
      <c r="C13" s="4" t="s">
        <v>72</v>
      </c>
      <c r="D13" s="4" t="s">
        <v>86</v>
      </c>
      <c r="E13" s="4" t="s">
        <v>78</v>
      </c>
      <c r="F13" s="4" t="s">
        <v>74</v>
      </c>
      <c r="G13" s="4" t="s">
        <v>151</v>
      </c>
    </row>
    <row r="14" spans="1:7" ht="28" customHeight="1">
      <c r="A14" s="4" t="s">
        <v>92</v>
      </c>
      <c r="B14" s="4">
        <v>2</v>
      </c>
      <c r="C14" s="4" t="s">
        <v>81</v>
      </c>
      <c r="D14" s="4" t="s">
        <v>93</v>
      </c>
      <c r="E14" s="4" t="s">
        <v>83</v>
      </c>
      <c r="F14" s="4" t="s">
        <v>84</v>
      </c>
      <c r="G14" s="4" t="s">
        <v>152</v>
      </c>
    </row>
    <row r="15" spans="1:7" ht="28" customHeight="1">
      <c r="A15" s="4" t="s">
        <v>92</v>
      </c>
      <c r="B15" s="4">
        <v>3</v>
      </c>
      <c r="C15" s="4" t="s">
        <v>72</v>
      </c>
      <c r="D15" s="4" t="s">
        <v>77</v>
      </c>
      <c r="E15" s="4" t="s">
        <v>94</v>
      </c>
      <c r="F15" s="4" t="s">
        <v>74</v>
      </c>
      <c r="G15" s="4" t="s">
        <v>153</v>
      </c>
    </row>
    <row r="16" spans="1:7" ht="28" customHeight="1">
      <c r="A16" s="4" t="s">
        <v>92</v>
      </c>
      <c r="B16" s="4">
        <v>4</v>
      </c>
      <c r="C16" s="4" t="s">
        <v>72</v>
      </c>
      <c r="D16" s="4" t="s">
        <v>77</v>
      </c>
      <c r="E16" s="4" t="s">
        <v>87</v>
      </c>
      <c r="F16" s="4" t="s">
        <v>75</v>
      </c>
      <c r="G16" s="4" t="s">
        <v>154</v>
      </c>
    </row>
    <row r="17" spans="1:7" ht="28" customHeight="1">
      <c r="A17" s="4" t="s">
        <v>92</v>
      </c>
      <c r="B17" s="4">
        <v>5</v>
      </c>
      <c r="C17" s="4" t="s">
        <v>81</v>
      </c>
      <c r="D17" s="4" t="s">
        <v>95</v>
      </c>
      <c r="E17" s="4" t="s">
        <v>84</v>
      </c>
      <c r="F17" s="4" t="s">
        <v>83</v>
      </c>
      <c r="G17" s="4" t="s">
        <v>155</v>
      </c>
    </row>
    <row r="18" spans="1:7" ht="28" customHeight="1">
      <c r="A18" s="4" t="s">
        <v>92</v>
      </c>
      <c r="B18" s="4">
        <v>6</v>
      </c>
      <c r="C18" s="4" t="s">
        <v>72</v>
      </c>
      <c r="D18" s="4" t="s">
        <v>73</v>
      </c>
      <c r="E18" s="4" t="s">
        <v>75</v>
      </c>
      <c r="F18" s="4" t="s">
        <v>87</v>
      </c>
      <c r="G18" s="4" t="s">
        <v>156</v>
      </c>
    </row>
    <row r="19" spans="1:7" ht="28" customHeight="1">
      <c r="A19" s="4" t="s">
        <v>96</v>
      </c>
      <c r="B19" s="4">
        <v>1</v>
      </c>
      <c r="C19" s="4" t="s">
        <v>81</v>
      </c>
      <c r="D19" s="4" t="s">
        <v>97</v>
      </c>
      <c r="E19" s="4" t="s">
        <v>83</v>
      </c>
      <c r="F19" s="4" t="s">
        <v>84</v>
      </c>
      <c r="G19" s="4" t="s">
        <v>157</v>
      </c>
    </row>
    <row r="20" spans="1:7" ht="28" customHeight="1">
      <c r="A20" s="4" t="s">
        <v>96</v>
      </c>
      <c r="B20" s="4">
        <v>2</v>
      </c>
      <c r="C20" s="4" t="s">
        <v>72</v>
      </c>
      <c r="D20" s="4" t="s">
        <v>77</v>
      </c>
      <c r="E20" s="4" t="s">
        <v>74</v>
      </c>
      <c r="F20" s="4" t="s">
        <v>87</v>
      </c>
      <c r="G20" s="4" t="s">
        <v>158</v>
      </c>
    </row>
    <row r="21" spans="1:7" ht="28" customHeight="1">
      <c r="A21" s="4" t="s">
        <v>96</v>
      </c>
      <c r="B21" s="4">
        <v>3</v>
      </c>
      <c r="C21" s="4" t="s">
        <v>72</v>
      </c>
      <c r="D21" s="4" t="s">
        <v>73</v>
      </c>
      <c r="E21" s="4" t="s">
        <v>79</v>
      </c>
      <c r="F21" s="4" t="s">
        <v>87</v>
      </c>
      <c r="G21" s="4" t="s">
        <v>159</v>
      </c>
    </row>
    <row r="22" spans="1:7" ht="28" customHeight="1">
      <c r="A22" s="4" t="s">
        <v>96</v>
      </c>
      <c r="B22" s="4">
        <v>4</v>
      </c>
      <c r="C22" s="4" t="s">
        <v>81</v>
      </c>
      <c r="D22" s="4" t="s">
        <v>98</v>
      </c>
      <c r="E22" s="4" t="s">
        <v>84</v>
      </c>
      <c r="F22" s="4" t="s">
        <v>83</v>
      </c>
      <c r="G22" s="4" t="s">
        <v>160</v>
      </c>
    </row>
    <row r="23" spans="1:7" ht="28" customHeight="1">
      <c r="A23" s="4" t="s">
        <v>96</v>
      </c>
      <c r="B23" s="4">
        <v>5</v>
      </c>
      <c r="C23" s="4" t="s">
        <v>72</v>
      </c>
      <c r="D23" s="4" t="s">
        <v>77</v>
      </c>
      <c r="E23" s="4" t="s">
        <v>94</v>
      </c>
      <c r="F23" s="4" t="s">
        <v>78</v>
      </c>
      <c r="G23" s="4" t="s">
        <v>161</v>
      </c>
    </row>
    <row r="24" spans="1:7" ht="28" customHeight="1">
      <c r="A24" s="4" t="s">
        <v>96</v>
      </c>
      <c r="B24" s="4">
        <v>6</v>
      </c>
      <c r="C24" s="4" t="s">
        <v>72</v>
      </c>
      <c r="D24" s="4" t="s">
        <v>86</v>
      </c>
      <c r="E24" s="4" t="s">
        <v>75</v>
      </c>
      <c r="F24" s="4" t="s">
        <v>87</v>
      </c>
      <c r="G24" s="4" t="s">
        <v>162</v>
      </c>
    </row>
    <row r="25" spans="1:7" ht="28" customHeight="1">
      <c r="A25" s="4" t="s">
        <v>99</v>
      </c>
      <c r="B25" s="4">
        <v>1</v>
      </c>
      <c r="C25" s="4" t="s">
        <v>72</v>
      </c>
      <c r="D25" s="4" t="s">
        <v>86</v>
      </c>
      <c r="E25" s="4" t="s">
        <v>75</v>
      </c>
      <c r="F25" s="4" t="s">
        <v>78</v>
      </c>
      <c r="G25" s="4" t="s">
        <v>163</v>
      </c>
    </row>
    <row r="26" spans="1:7" ht="28" customHeight="1">
      <c r="A26" s="4" t="s">
        <v>99</v>
      </c>
      <c r="B26" s="4">
        <v>2</v>
      </c>
      <c r="C26" s="4" t="s">
        <v>72</v>
      </c>
      <c r="D26" s="4" t="s">
        <v>73</v>
      </c>
      <c r="E26" s="4" t="s">
        <v>79</v>
      </c>
      <c r="F26" s="4" t="s">
        <v>78</v>
      </c>
      <c r="G26" s="4" t="s">
        <v>164</v>
      </c>
    </row>
    <row r="27" spans="1:7" ht="28" customHeight="1">
      <c r="A27" s="4" t="s">
        <v>99</v>
      </c>
      <c r="B27" s="4">
        <v>3</v>
      </c>
      <c r="C27" s="4" t="s">
        <v>81</v>
      </c>
      <c r="D27" s="4" t="s">
        <v>98</v>
      </c>
      <c r="E27" s="4" t="s">
        <v>83</v>
      </c>
      <c r="F27" s="4" t="s">
        <v>84</v>
      </c>
      <c r="G27" s="4" t="s">
        <v>160</v>
      </c>
    </row>
    <row r="28" spans="1:7" ht="28" customHeight="1">
      <c r="A28" s="4" t="s">
        <v>99</v>
      </c>
      <c r="B28" s="4">
        <v>4</v>
      </c>
      <c r="C28" s="4" t="s">
        <v>72</v>
      </c>
      <c r="D28" s="4" t="s">
        <v>77</v>
      </c>
      <c r="E28" s="4" t="s">
        <v>75</v>
      </c>
      <c r="F28" s="4" t="s">
        <v>79</v>
      </c>
      <c r="G28" s="4" t="s">
        <v>165</v>
      </c>
    </row>
    <row r="29" spans="1:7" ht="28" customHeight="1">
      <c r="A29" s="4" t="s">
        <v>99</v>
      </c>
      <c r="B29" s="4">
        <v>5</v>
      </c>
      <c r="C29" s="4" t="s">
        <v>72</v>
      </c>
      <c r="D29" s="4" t="s">
        <v>77</v>
      </c>
      <c r="E29" s="4" t="s">
        <v>79</v>
      </c>
      <c r="F29" s="4" t="s">
        <v>87</v>
      </c>
      <c r="G29" s="4" t="s">
        <v>166</v>
      </c>
    </row>
    <row r="30" spans="1:7" ht="28" customHeight="1">
      <c r="A30" s="4" t="s">
        <v>99</v>
      </c>
      <c r="B30" s="4">
        <v>6</v>
      </c>
      <c r="C30" s="4" t="s">
        <v>81</v>
      </c>
      <c r="D30" s="4" t="s">
        <v>100</v>
      </c>
      <c r="E30" s="4" t="s">
        <v>84</v>
      </c>
      <c r="F30" s="4" t="s">
        <v>83</v>
      </c>
      <c r="G30" s="4" t="s">
        <v>167</v>
      </c>
    </row>
    <row r="31" spans="1:7" ht="28" customHeight="1">
      <c r="A31" s="4" t="s">
        <v>101</v>
      </c>
      <c r="B31" s="4">
        <v>1</v>
      </c>
      <c r="C31" s="4" t="s">
        <v>72</v>
      </c>
      <c r="D31" s="4" t="s">
        <v>77</v>
      </c>
      <c r="E31" s="4" t="s">
        <v>87</v>
      </c>
      <c r="F31" s="4" t="s">
        <v>94</v>
      </c>
      <c r="G31" s="4" t="s">
        <v>168</v>
      </c>
    </row>
    <row r="32" spans="1:7" ht="28" customHeight="1">
      <c r="A32" s="4" t="s">
        <v>101</v>
      </c>
      <c r="B32" s="4">
        <v>2</v>
      </c>
      <c r="C32" s="4" t="s">
        <v>81</v>
      </c>
      <c r="D32" s="4" t="s">
        <v>102</v>
      </c>
      <c r="E32" s="4" t="s">
        <v>84</v>
      </c>
      <c r="F32" s="4" t="s">
        <v>83</v>
      </c>
      <c r="G32" s="4" t="s">
        <v>169</v>
      </c>
    </row>
    <row r="33" spans="1:7" ht="28" customHeight="1">
      <c r="A33" s="4" t="s">
        <v>101</v>
      </c>
      <c r="B33" s="4">
        <v>3</v>
      </c>
      <c r="C33" s="4" t="s">
        <v>72</v>
      </c>
      <c r="D33" s="4" t="s">
        <v>77</v>
      </c>
      <c r="E33" s="4" t="s">
        <v>89</v>
      </c>
      <c r="F33" s="4" t="s">
        <v>78</v>
      </c>
      <c r="G33" s="4" t="s">
        <v>170</v>
      </c>
    </row>
    <row r="34" spans="1:7" ht="28" customHeight="1">
      <c r="A34" s="4" t="s">
        <v>101</v>
      </c>
      <c r="B34" s="4">
        <v>4</v>
      </c>
      <c r="C34" s="4" t="s">
        <v>72</v>
      </c>
      <c r="D34" s="4" t="s">
        <v>86</v>
      </c>
      <c r="E34" s="4" t="s">
        <v>78</v>
      </c>
      <c r="F34" s="4" t="s">
        <v>79</v>
      </c>
      <c r="G34" s="4" t="s">
        <v>171</v>
      </c>
    </row>
    <row r="35" spans="1:7" ht="28" customHeight="1">
      <c r="A35" s="4" t="s">
        <v>101</v>
      </c>
      <c r="B35" s="4">
        <v>5</v>
      </c>
      <c r="C35" s="4" t="s">
        <v>81</v>
      </c>
      <c r="D35" s="4" t="s">
        <v>98</v>
      </c>
      <c r="E35" s="4" t="s">
        <v>83</v>
      </c>
      <c r="F35" s="4" t="s">
        <v>84</v>
      </c>
      <c r="G35" s="4" t="s">
        <v>160</v>
      </c>
    </row>
    <row r="36" spans="1:7" ht="28" customHeight="1">
      <c r="A36" s="4" t="s">
        <v>101</v>
      </c>
      <c r="B36" s="4">
        <v>6</v>
      </c>
      <c r="C36" s="4" t="s">
        <v>72</v>
      </c>
      <c r="D36" s="4" t="s">
        <v>73</v>
      </c>
      <c r="E36" s="4" t="s">
        <v>87</v>
      </c>
      <c r="F36" s="4" t="s">
        <v>75</v>
      </c>
      <c r="G36" s="4" t="s">
        <v>156</v>
      </c>
    </row>
    <row r="37" spans="1:7" ht="28" customHeight="1">
      <c r="A37" s="4" t="s">
        <v>103</v>
      </c>
      <c r="B37" s="4">
        <v>1</v>
      </c>
      <c r="C37" s="4" t="s">
        <v>81</v>
      </c>
      <c r="D37" s="4" t="s">
        <v>98</v>
      </c>
      <c r="E37" s="4" t="s">
        <v>84</v>
      </c>
      <c r="F37" s="4" t="s">
        <v>83</v>
      </c>
      <c r="G37" s="4" t="s">
        <v>160</v>
      </c>
    </row>
    <row r="38" spans="1:7" ht="28" customHeight="1">
      <c r="A38" s="4" t="s">
        <v>103</v>
      </c>
      <c r="B38" s="4">
        <v>2</v>
      </c>
      <c r="C38" s="4" t="s">
        <v>72</v>
      </c>
      <c r="D38" s="4" t="s">
        <v>77</v>
      </c>
      <c r="E38" s="4" t="s">
        <v>79</v>
      </c>
      <c r="F38" s="4" t="s">
        <v>94</v>
      </c>
      <c r="G38" s="4" t="s">
        <v>172</v>
      </c>
    </row>
    <row r="39" spans="1:7" ht="28" customHeight="1">
      <c r="A39" s="4" t="s">
        <v>103</v>
      </c>
      <c r="B39" s="4">
        <v>3</v>
      </c>
      <c r="C39" s="4" t="s">
        <v>72</v>
      </c>
      <c r="D39" s="4" t="s">
        <v>73</v>
      </c>
      <c r="E39" s="4" t="s">
        <v>74</v>
      </c>
      <c r="F39" s="4" t="s">
        <v>78</v>
      </c>
      <c r="G39" s="4" t="s">
        <v>173</v>
      </c>
    </row>
    <row r="40" spans="1:7" ht="28" customHeight="1">
      <c r="A40" s="4" t="s">
        <v>103</v>
      </c>
      <c r="B40" s="4">
        <v>4</v>
      </c>
      <c r="C40" s="4" t="s">
        <v>81</v>
      </c>
      <c r="D40" s="4" t="s">
        <v>104</v>
      </c>
      <c r="E40" s="4" t="s">
        <v>83</v>
      </c>
      <c r="F40" s="4" t="s">
        <v>84</v>
      </c>
      <c r="G40" s="4" t="s">
        <v>174</v>
      </c>
    </row>
    <row r="41" spans="1:7" ht="28" customHeight="1">
      <c r="A41" s="4" t="s">
        <v>103</v>
      </c>
      <c r="B41" s="4">
        <v>5</v>
      </c>
      <c r="C41" s="4" t="s">
        <v>72</v>
      </c>
      <c r="D41" s="4" t="s">
        <v>86</v>
      </c>
      <c r="E41" s="4" t="s">
        <v>78</v>
      </c>
      <c r="F41" s="4" t="s">
        <v>75</v>
      </c>
      <c r="G41" s="4" t="s">
        <v>163</v>
      </c>
    </row>
    <row r="42" spans="1:7" ht="28" customHeight="1">
      <c r="A42" s="4" t="s">
        <v>103</v>
      </c>
      <c r="B42" s="4">
        <v>6</v>
      </c>
      <c r="C42" s="4" t="s">
        <v>72</v>
      </c>
      <c r="D42" s="4" t="s">
        <v>77</v>
      </c>
      <c r="E42" s="4" t="s">
        <v>89</v>
      </c>
      <c r="F42" s="4" t="s">
        <v>87</v>
      </c>
      <c r="G42" s="4" t="s">
        <v>175</v>
      </c>
    </row>
    <row r="43" spans="1:7" ht="28" customHeight="1">
      <c r="A43" s="4" t="s">
        <v>105</v>
      </c>
      <c r="B43" s="4">
        <v>1</v>
      </c>
      <c r="C43" s="4" t="s">
        <v>72</v>
      </c>
      <c r="D43" s="4" t="s">
        <v>73</v>
      </c>
      <c r="E43" s="4" t="s">
        <v>78</v>
      </c>
      <c r="F43" s="4" t="s">
        <v>75</v>
      </c>
      <c r="G43" s="4" t="s">
        <v>176</v>
      </c>
    </row>
    <row r="44" spans="1:7" ht="28" customHeight="1">
      <c r="A44" s="4" t="s">
        <v>105</v>
      </c>
      <c r="B44" s="4">
        <v>2</v>
      </c>
      <c r="C44" s="4" t="s">
        <v>72</v>
      </c>
      <c r="D44" s="4" t="s">
        <v>77</v>
      </c>
      <c r="E44" s="4" t="s">
        <v>78</v>
      </c>
      <c r="F44" s="4" t="s">
        <v>87</v>
      </c>
      <c r="G44" s="4" t="s">
        <v>177</v>
      </c>
    </row>
    <row r="45" spans="1:7" ht="28" customHeight="1">
      <c r="A45" s="4" t="s">
        <v>105</v>
      </c>
      <c r="B45" s="4">
        <v>3</v>
      </c>
      <c r="C45" s="4" t="s">
        <v>81</v>
      </c>
      <c r="D45" s="4" t="s">
        <v>97</v>
      </c>
      <c r="E45" s="4" t="s">
        <v>84</v>
      </c>
      <c r="F45" s="4" t="s">
        <v>83</v>
      </c>
      <c r="G45" s="4" t="s">
        <v>157</v>
      </c>
    </row>
    <row r="46" spans="1:7" ht="28" customHeight="1">
      <c r="A46" s="4" t="s">
        <v>105</v>
      </c>
      <c r="B46" s="4">
        <v>4</v>
      </c>
      <c r="C46" s="4" t="s">
        <v>72</v>
      </c>
      <c r="D46" s="4" t="s">
        <v>86</v>
      </c>
      <c r="E46" s="4" t="s">
        <v>74</v>
      </c>
      <c r="F46" s="4" t="s">
        <v>79</v>
      </c>
      <c r="G46" s="4" t="s">
        <v>178</v>
      </c>
    </row>
    <row r="47" spans="1:7" ht="28" customHeight="1">
      <c r="A47" s="4" t="s">
        <v>105</v>
      </c>
      <c r="B47" s="4">
        <v>5</v>
      </c>
      <c r="C47" s="4" t="s">
        <v>72</v>
      </c>
      <c r="D47" s="4" t="s">
        <v>77</v>
      </c>
      <c r="E47" s="4" t="s">
        <v>74</v>
      </c>
      <c r="F47" s="4" t="s">
        <v>89</v>
      </c>
      <c r="G47" s="4" t="s">
        <v>179</v>
      </c>
    </row>
    <row r="48" spans="1:7" ht="28" customHeight="1">
      <c r="A48" s="4" t="s">
        <v>105</v>
      </c>
      <c r="B48" s="4">
        <v>6</v>
      </c>
      <c r="C48" s="4" t="s">
        <v>81</v>
      </c>
      <c r="D48" s="4" t="s">
        <v>91</v>
      </c>
      <c r="E48" s="4" t="s">
        <v>83</v>
      </c>
      <c r="F48" s="4" t="s">
        <v>84</v>
      </c>
      <c r="G48" s="4" t="s">
        <v>150</v>
      </c>
    </row>
    <row r="49" spans="1:7" ht="28" customHeight="1">
      <c r="A49" s="4" t="s">
        <v>106</v>
      </c>
      <c r="B49" s="4">
        <v>1</v>
      </c>
      <c r="C49" s="4" t="s">
        <v>72</v>
      </c>
      <c r="D49" s="4" t="s">
        <v>73</v>
      </c>
      <c r="E49" s="4" t="s">
        <v>78</v>
      </c>
      <c r="F49" s="4" t="s">
        <v>87</v>
      </c>
      <c r="G49" s="4" t="s">
        <v>180</v>
      </c>
    </row>
    <row r="50" spans="1:7" ht="28" customHeight="1">
      <c r="A50" s="4" t="s">
        <v>106</v>
      </c>
      <c r="B50" s="4">
        <v>2</v>
      </c>
      <c r="C50" s="4" t="s">
        <v>81</v>
      </c>
      <c r="D50" s="4" t="s">
        <v>102</v>
      </c>
      <c r="E50" s="4" t="s">
        <v>83</v>
      </c>
      <c r="F50" s="4" t="s">
        <v>84</v>
      </c>
      <c r="G50" s="4" t="s">
        <v>169</v>
      </c>
    </row>
    <row r="51" spans="1:7" ht="28" customHeight="1">
      <c r="A51" s="4" t="s">
        <v>106</v>
      </c>
      <c r="B51" s="4">
        <v>3</v>
      </c>
      <c r="C51" s="4" t="s">
        <v>72</v>
      </c>
      <c r="D51" s="4" t="s">
        <v>77</v>
      </c>
      <c r="E51" s="4" t="s">
        <v>74</v>
      </c>
      <c r="F51" s="4" t="s">
        <v>78</v>
      </c>
      <c r="G51" s="4" t="s">
        <v>181</v>
      </c>
    </row>
    <row r="52" spans="1:7" ht="28" customHeight="1">
      <c r="A52" s="4" t="s">
        <v>106</v>
      </c>
      <c r="B52" s="4">
        <v>4</v>
      </c>
      <c r="C52" s="4" t="s">
        <v>72</v>
      </c>
      <c r="D52" s="4" t="s">
        <v>77</v>
      </c>
      <c r="E52" s="4" t="s">
        <v>89</v>
      </c>
      <c r="F52" s="4" t="s">
        <v>94</v>
      </c>
      <c r="G52" s="4" t="s">
        <v>182</v>
      </c>
    </row>
    <row r="53" spans="1:7" ht="28" customHeight="1">
      <c r="A53" s="4" t="s">
        <v>106</v>
      </c>
      <c r="B53" s="4">
        <v>5</v>
      </c>
      <c r="C53" s="4" t="s">
        <v>81</v>
      </c>
      <c r="D53" s="4" t="s">
        <v>82</v>
      </c>
      <c r="E53" s="4" t="s">
        <v>84</v>
      </c>
      <c r="F53" s="4" t="s">
        <v>83</v>
      </c>
      <c r="G53" s="4" t="s">
        <v>147</v>
      </c>
    </row>
    <row r="54" spans="1:7" ht="28" customHeight="1">
      <c r="A54" s="4" t="s">
        <v>106</v>
      </c>
      <c r="B54" s="4">
        <v>6</v>
      </c>
      <c r="C54" s="4" t="s">
        <v>72</v>
      </c>
      <c r="D54" s="4" t="s">
        <v>86</v>
      </c>
      <c r="E54" s="4" t="s">
        <v>78</v>
      </c>
      <c r="F54" s="4" t="s">
        <v>87</v>
      </c>
      <c r="G54" s="4" t="s">
        <v>183</v>
      </c>
    </row>
    <row r="55" spans="1:7" ht="28" customHeight="1">
      <c r="A55" s="4" t="s">
        <v>107</v>
      </c>
      <c r="B55" s="4">
        <v>1</v>
      </c>
      <c r="C55" s="4" t="s">
        <v>81</v>
      </c>
      <c r="D55" s="4" t="s">
        <v>108</v>
      </c>
      <c r="E55" s="4" t="s">
        <v>84</v>
      </c>
      <c r="F55" s="4" t="s">
        <v>83</v>
      </c>
      <c r="G55" s="4" t="s">
        <v>184</v>
      </c>
    </row>
    <row r="56" spans="1:7" ht="28" customHeight="1">
      <c r="A56" s="4" t="s">
        <v>107</v>
      </c>
      <c r="B56" s="4">
        <v>2</v>
      </c>
      <c r="C56" s="4" t="s">
        <v>72</v>
      </c>
      <c r="D56" s="4" t="s">
        <v>77</v>
      </c>
      <c r="E56" s="4" t="s">
        <v>79</v>
      </c>
      <c r="F56" s="4" t="s">
        <v>74</v>
      </c>
      <c r="G56" s="4" t="s">
        <v>185</v>
      </c>
    </row>
    <row r="57" spans="1:7" ht="28" customHeight="1">
      <c r="A57" s="4" t="s">
        <v>107</v>
      </c>
      <c r="B57" s="4">
        <v>3</v>
      </c>
      <c r="C57" s="4" t="s">
        <v>72</v>
      </c>
      <c r="D57" s="4" t="s">
        <v>73</v>
      </c>
      <c r="E57" s="4" t="s">
        <v>74</v>
      </c>
      <c r="F57" s="4" t="s">
        <v>79</v>
      </c>
      <c r="G57" s="4" t="s">
        <v>186</v>
      </c>
    </row>
    <row r="58" spans="1:7" ht="28" customHeight="1">
      <c r="A58" s="4" t="s">
        <v>107</v>
      </c>
      <c r="B58" s="4">
        <v>4</v>
      </c>
      <c r="C58" s="4" t="s">
        <v>81</v>
      </c>
      <c r="D58" s="4" t="s">
        <v>95</v>
      </c>
      <c r="E58" s="4" t="s">
        <v>83</v>
      </c>
      <c r="F58" s="4" t="s">
        <v>84</v>
      </c>
      <c r="G58" s="4" t="s">
        <v>155</v>
      </c>
    </row>
    <row r="59" spans="1:7" ht="28" customHeight="1">
      <c r="A59" s="4" t="s">
        <v>107</v>
      </c>
      <c r="B59" s="4">
        <v>5</v>
      </c>
      <c r="C59" s="4" t="s">
        <v>72</v>
      </c>
      <c r="D59" s="4" t="s">
        <v>77</v>
      </c>
      <c r="E59" s="4" t="s">
        <v>94</v>
      </c>
      <c r="F59" s="4" t="s">
        <v>75</v>
      </c>
      <c r="G59" s="4" t="s">
        <v>187</v>
      </c>
    </row>
    <row r="60" spans="1:7" ht="28" customHeight="1">
      <c r="A60" s="4" t="s">
        <v>107</v>
      </c>
      <c r="B60" s="4">
        <v>6</v>
      </c>
      <c r="C60" s="4" t="s">
        <v>72</v>
      </c>
      <c r="D60" s="4" t="s">
        <v>86</v>
      </c>
      <c r="E60" s="4" t="s">
        <v>75</v>
      </c>
      <c r="F60" s="4" t="s">
        <v>79</v>
      </c>
      <c r="G60" s="4" t="s">
        <v>188</v>
      </c>
    </row>
    <row r="61" spans="1:7" ht="28" customHeight="1">
      <c r="A61" s="4" t="s">
        <v>109</v>
      </c>
      <c r="B61" s="4">
        <v>1</v>
      </c>
      <c r="C61" s="4" t="s">
        <v>72</v>
      </c>
      <c r="D61" s="4" t="s">
        <v>77</v>
      </c>
      <c r="E61" s="4" t="s">
        <v>89</v>
      </c>
      <c r="F61" s="4" t="s">
        <v>75</v>
      </c>
      <c r="G61" s="4" t="s">
        <v>189</v>
      </c>
    </row>
    <row r="62" spans="1:7" ht="28" customHeight="1">
      <c r="A62" s="4" t="s">
        <v>109</v>
      </c>
      <c r="B62" s="4">
        <v>2</v>
      </c>
      <c r="C62" s="4" t="s">
        <v>72</v>
      </c>
      <c r="D62" s="4" t="s">
        <v>73</v>
      </c>
      <c r="E62" s="4" t="s">
        <v>87</v>
      </c>
      <c r="F62" s="4" t="s">
        <v>74</v>
      </c>
      <c r="G62" s="4" t="s">
        <v>190</v>
      </c>
    </row>
    <row r="63" spans="1:7" ht="28" customHeight="1">
      <c r="A63" s="4" t="s">
        <v>109</v>
      </c>
      <c r="B63" s="4">
        <v>3</v>
      </c>
      <c r="C63" s="4" t="s">
        <v>81</v>
      </c>
      <c r="D63" s="4" t="s">
        <v>93</v>
      </c>
      <c r="E63" s="4" t="s">
        <v>84</v>
      </c>
      <c r="F63" s="4" t="s">
        <v>83</v>
      </c>
      <c r="G63" s="4" t="s">
        <v>152</v>
      </c>
    </row>
    <row r="64" spans="1:7" ht="28" customHeight="1">
      <c r="A64" s="4" t="s">
        <v>109</v>
      </c>
      <c r="B64" s="4">
        <v>4</v>
      </c>
      <c r="C64" s="4" t="s">
        <v>72</v>
      </c>
      <c r="D64" s="4" t="s">
        <v>86</v>
      </c>
      <c r="E64" s="4" t="s">
        <v>75</v>
      </c>
      <c r="F64" s="4" t="s">
        <v>74</v>
      </c>
      <c r="G64" s="4" t="s">
        <v>191</v>
      </c>
    </row>
    <row r="65" spans="1:7" ht="28" customHeight="1">
      <c r="A65" s="4" t="s">
        <v>109</v>
      </c>
      <c r="B65" s="4">
        <v>5</v>
      </c>
      <c r="C65" s="4" t="s">
        <v>72</v>
      </c>
      <c r="D65" s="4" t="s">
        <v>77</v>
      </c>
      <c r="E65" s="4" t="s">
        <v>78</v>
      </c>
      <c r="F65" s="4" t="s">
        <v>94</v>
      </c>
      <c r="G65" s="4" t="s">
        <v>161</v>
      </c>
    </row>
    <row r="66" spans="1:7" ht="28" customHeight="1">
      <c r="A66" s="4" t="s">
        <v>109</v>
      </c>
      <c r="B66" s="4">
        <v>6</v>
      </c>
      <c r="C66" s="4" t="s">
        <v>81</v>
      </c>
      <c r="D66" s="4" t="s">
        <v>100</v>
      </c>
      <c r="E66" s="4" t="s">
        <v>83</v>
      </c>
      <c r="F66" s="4" t="s">
        <v>84</v>
      </c>
      <c r="G66" s="4" t="s">
        <v>167</v>
      </c>
    </row>
    <row r="67" spans="1:7" ht="28" customHeight="1">
      <c r="A67" s="4" t="s">
        <v>110</v>
      </c>
      <c r="B67" s="4">
        <v>1</v>
      </c>
      <c r="C67" s="4" t="s">
        <v>72</v>
      </c>
      <c r="D67" s="4" t="s">
        <v>77</v>
      </c>
      <c r="E67" s="4" t="s">
        <v>75</v>
      </c>
      <c r="F67" s="4" t="s">
        <v>78</v>
      </c>
      <c r="G67" s="4" t="s">
        <v>192</v>
      </c>
    </row>
    <row r="68" spans="1:7" ht="28" customHeight="1">
      <c r="A68" s="4" t="s">
        <v>110</v>
      </c>
      <c r="B68" s="4">
        <v>2</v>
      </c>
      <c r="C68" s="4" t="s">
        <v>81</v>
      </c>
      <c r="D68" s="4" t="s">
        <v>108</v>
      </c>
      <c r="E68" s="4" t="s">
        <v>83</v>
      </c>
      <c r="F68" s="4" t="s">
        <v>84</v>
      </c>
      <c r="G68" s="4" t="s">
        <v>184</v>
      </c>
    </row>
    <row r="69" spans="1:7" ht="28" customHeight="1">
      <c r="A69" s="4" t="s">
        <v>110</v>
      </c>
      <c r="B69" s="4">
        <v>3</v>
      </c>
      <c r="C69" s="4" t="s">
        <v>72</v>
      </c>
      <c r="D69" s="4" t="s">
        <v>86</v>
      </c>
      <c r="E69" s="4" t="s">
        <v>87</v>
      </c>
      <c r="F69" s="4" t="s">
        <v>74</v>
      </c>
      <c r="G69" s="4" t="s">
        <v>193</v>
      </c>
    </row>
    <row r="70" spans="1:7" ht="28" customHeight="1">
      <c r="A70" s="4" t="s">
        <v>110</v>
      </c>
      <c r="B70" s="4">
        <v>4</v>
      </c>
      <c r="C70" s="4" t="s">
        <v>72</v>
      </c>
      <c r="D70" s="4" t="s">
        <v>77</v>
      </c>
      <c r="E70" s="4" t="s">
        <v>74</v>
      </c>
      <c r="F70" s="4" t="s">
        <v>75</v>
      </c>
      <c r="G70" s="4" t="s">
        <v>194</v>
      </c>
    </row>
    <row r="71" spans="1:7" ht="28" customHeight="1">
      <c r="A71" s="4" t="s">
        <v>110</v>
      </c>
      <c r="B71" s="4">
        <v>5</v>
      </c>
      <c r="C71" s="4" t="s">
        <v>81</v>
      </c>
      <c r="D71" s="4" t="s">
        <v>104</v>
      </c>
      <c r="E71" s="4" t="s">
        <v>84</v>
      </c>
      <c r="F71" s="4" t="s">
        <v>83</v>
      </c>
      <c r="G71" s="4" t="s">
        <v>174</v>
      </c>
    </row>
    <row r="72" spans="1:7" ht="28" customHeight="1">
      <c r="A72" s="4" t="s">
        <v>110</v>
      </c>
      <c r="B72" s="4">
        <v>6</v>
      </c>
      <c r="C72" s="4" t="s">
        <v>72</v>
      </c>
      <c r="D72" s="4" t="s">
        <v>73</v>
      </c>
      <c r="E72" s="4" t="s">
        <v>75</v>
      </c>
      <c r="F72" s="4" t="s">
        <v>79</v>
      </c>
      <c r="G72" s="4" t="s">
        <v>195</v>
      </c>
    </row>
  </sheetData>
  <sheetProtection sheet="1" objects="1" scenarios="1" autoFilter="0"/>
  <autoFilter ref="A6:G72"/>
  <mergeCells count="2">
    <mergeCell ref="A1:G1"/>
    <mergeCell ref="A2:G4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使用说明</vt:lpstr>
      <vt:lpstr>参与者登记</vt:lpstr>
      <vt:lpstr>评分录入</vt:lpstr>
      <vt:lpstr>架构汇总</vt:lpstr>
      <vt:lpstr>模型汇总</vt:lpstr>
      <vt:lpstr>逐题汇总</vt:lpstr>
      <vt:lpstr>分配与解盲</vt:lpstr>
      <vt:lpstr>使用说明!Print_Area</vt:lpstr>
      <vt:lpstr>分配与解盲!Print_Titles</vt:lpstr>
      <vt:lpstr>参与者登记!Print_Titles</vt:lpstr>
      <vt:lpstr>架构汇总!Print_Titles</vt:lpstr>
      <vt:lpstr>模型汇总!Print_Titles</vt:lpstr>
      <vt:lpstr>评分录入!Print_Titles</vt:lpstr>
      <vt:lpstr>逐题汇总!Print_Titles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Agora 11 人问卷结果录入</dc:title>
  <dc:creator>Agora research team</dc:creator>
  <dc:description>Blank researcher template. No human results included.</dc:description>
  <cp:lastModifiedBy>Agora research team</cp:lastModifiedBy>
  <dcterms:created xsi:type="dcterms:W3CDTF">2026-09-21T23:08:03Z</dcterms:created>
  <dcterms:modified xsi:type="dcterms:W3CDTF">2026-09-21T23:08:03Z</dcterms:modified>
</cp:coreProperties>
</file>